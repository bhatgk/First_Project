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Learning\Project Management\First_Project\"/>
    </mc:Choice>
  </mc:AlternateContent>
  <xr:revisionPtr revIDLastSave="0" documentId="8_{02E94DC3-5119-4497-BB3F-85F15BA35F4A}" xr6:coauthVersionLast="47" xr6:coauthVersionMax="47" xr10:uidLastSave="{00000000-0000-0000-0000-000000000000}"/>
  <bookViews>
    <workbookView xWindow="5115" yWindow="3045" windowWidth="15375" windowHeight="7875" xr2:uid="{1869298E-C141-4852-B6EE-EBE1CAC8EFBD}"/>
  </bookViews>
  <sheets>
    <sheet name="WBS" sheetId="1" r:id="rId1"/>
    <sheet name="Gantt" sheetId="2" r:id="rId2"/>
    <sheet name="RACI" sheetId="3" r:id="rId3"/>
    <sheet name="RAID Log" sheetId="4" r:id="rId4"/>
    <sheet name="Mileston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5" l="1"/>
  <c r="B8" i="5"/>
  <c r="B7" i="5"/>
  <c r="B6" i="5"/>
  <c r="B5" i="5"/>
  <c r="B4" i="5"/>
  <c r="B3" i="5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</calcChain>
</file>

<file path=xl/sharedStrings.xml><?xml version="1.0" encoding="utf-8"?>
<sst xmlns="http://schemas.openxmlformats.org/spreadsheetml/2006/main" count="872" uniqueCount="288">
  <si>
    <t>SAP Ariba SLP + Buying Implementation Plan - Acme Industrial</t>
  </si>
  <si>
    <t>Task ID</t>
  </si>
  <si>
    <t>Phase</t>
  </si>
  <si>
    <t>Workstream</t>
  </si>
  <si>
    <t>Task</t>
  </si>
  <si>
    <t>Owner</t>
  </si>
  <si>
    <t>Start</t>
  </si>
  <si>
    <t>End</t>
  </si>
  <si>
    <t>Duration (days)</t>
  </si>
  <si>
    <t>% Complete</t>
  </si>
  <si>
    <t>Status</t>
  </si>
  <si>
    <t>Notes</t>
  </si>
  <si>
    <t>P-01</t>
  </si>
  <si>
    <t>Prepare</t>
  </si>
  <si>
    <t>PMO</t>
  </si>
  <si>
    <t>Project kickoff meeting</t>
  </si>
  <si>
    <t>Sara Lindqvist / Marcus Chen</t>
  </si>
  <si>
    <t>Not Started</t>
  </si>
  <si>
    <t>P-02</t>
  </si>
  <si>
    <t>Governance model &amp; steering committee setup</t>
  </si>
  <si>
    <t>Sara Lindqvist</t>
  </si>
  <si>
    <t>P-03</t>
  </si>
  <si>
    <t>Project charter sign-off</t>
  </si>
  <si>
    <t>P-04</t>
  </si>
  <si>
    <t>Communication plan</t>
  </si>
  <si>
    <t>Helena Ruiz</t>
  </si>
  <si>
    <t>P-05</t>
  </si>
  <si>
    <t>Technical</t>
  </si>
  <si>
    <t>Ariba realm provisioning (test + prod)</t>
  </si>
  <si>
    <t>Ravi Subramanian</t>
  </si>
  <si>
    <t>P-06</t>
  </si>
  <si>
    <t>SAP integration prerequisites checklist</t>
  </si>
  <si>
    <t>Yusuf Khalil</t>
  </si>
  <si>
    <t>P-07</t>
  </si>
  <si>
    <t>Change</t>
  </si>
  <si>
    <t>Stakeholder map &amp; change impact baseline</t>
  </si>
  <si>
    <t>Olivia Park</t>
  </si>
  <si>
    <t>E-01</t>
  </si>
  <si>
    <t>Explore</t>
  </si>
  <si>
    <t>SLP</t>
  </si>
  <si>
    <t>Supplier data discovery &amp; cleansing strategy</t>
  </si>
  <si>
    <t>Anika Patel</t>
  </si>
  <si>
    <t>E-02</t>
  </si>
  <si>
    <t>Supplier registration form design workshop</t>
  </si>
  <si>
    <t>E-03</t>
  </si>
  <si>
    <t>Supplier qualification questionnaire design</t>
  </si>
  <si>
    <t>E-04</t>
  </si>
  <si>
    <t>Supplier segmentation &amp; approval workflow design</t>
  </si>
  <si>
    <t>E-05</t>
  </si>
  <si>
    <t>Buying</t>
  </si>
  <si>
    <t>Procurement policy review &amp; catalog strategy</t>
  </si>
  <si>
    <t>James Whitaker</t>
  </si>
  <si>
    <t>E-06</t>
  </si>
  <si>
    <t>Guided Buying landing page &amp; tile design</t>
  </si>
  <si>
    <t>E-07</t>
  </si>
  <si>
    <t>Approval rules &amp; spend authorization matrix design</t>
  </si>
  <si>
    <t>E-08</t>
  </si>
  <si>
    <t>Catalog enablement plan (CIF, PunchOut, BMEcat)</t>
  </si>
  <si>
    <t>E-09</t>
  </si>
  <si>
    <t>Integration design (SLP master data, PR/PO, GR, invoice)</t>
  </si>
  <si>
    <t>E-10</t>
  </si>
  <si>
    <t>SSO &amp; user provisioning design</t>
  </si>
  <si>
    <t>Tom Becker</t>
  </si>
  <si>
    <t>E-11</t>
  </si>
  <si>
    <t>Data</t>
  </si>
  <si>
    <t>Vendor master cleansing &amp; migration approach</t>
  </si>
  <si>
    <t>Rina Takahashi</t>
  </si>
  <si>
    <t>E-12</t>
  </si>
  <si>
    <t>Training needs analysis</t>
  </si>
  <si>
    <t>R-01</t>
  </si>
  <si>
    <t>Realize</t>
  </si>
  <si>
    <t>Configure registration &amp; qualification forms</t>
  </si>
  <si>
    <t>R-02</t>
  </si>
  <si>
    <t>Configure supplier segmentation &amp; approval flows</t>
  </si>
  <si>
    <t>R-03</t>
  </si>
  <si>
    <t>Configure supplier 360 view &amp; modular questionnaires</t>
  </si>
  <si>
    <t>R-04</t>
  </si>
  <si>
    <t>Configure Guided Buying tiles, forms, and policies</t>
  </si>
  <si>
    <t>R-05</t>
  </si>
  <si>
    <t>Configure approval flows &amp; substitute approvers</t>
  </si>
  <si>
    <t>R-06</t>
  </si>
  <si>
    <t>Configure commodity codes &amp; catalog views</t>
  </si>
  <si>
    <t>R-07</t>
  </si>
  <si>
    <t>Onboard pilot catalogs (CIF + PunchOut)</t>
  </si>
  <si>
    <t>R-08</t>
  </si>
  <si>
    <t>Build SAP &lt;-&gt; Ariba integration (CIG / API)</t>
  </si>
  <si>
    <t>R-09</t>
  </si>
  <si>
    <t>Configure SSO &amp; user roles</t>
  </si>
  <si>
    <t>R-10</t>
  </si>
  <si>
    <t>Execute vendor master migration to dev</t>
  </si>
  <si>
    <t>R-11</t>
  </si>
  <si>
    <t>Testing</t>
  </si>
  <si>
    <t>SIT cycle 1</t>
  </si>
  <si>
    <t>Maya Greenfield</t>
  </si>
  <si>
    <t>R-12</t>
  </si>
  <si>
    <t>SIT cycle 2 (defect fix retest)</t>
  </si>
  <si>
    <t>R-13</t>
  </si>
  <si>
    <t>Develop training materials &amp; quick reference guides</t>
  </si>
  <si>
    <t>D-01</t>
  </si>
  <si>
    <t>Deploy</t>
  </si>
  <si>
    <t>UAT preparation &amp; test script walkthrough</t>
  </si>
  <si>
    <t>D-02</t>
  </si>
  <si>
    <t>UAT execution</t>
  </si>
  <si>
    <t>Karen Faulkner</t>
  </si>
  <si>
    <t>D-03</t>
  </si>
  <si>
    <t>UAT sign-off</t>
  </si>
  <si>
    <t>Daniel O'Connell</t>
  </si>
  <si>
    <t>D-04</t>
  </si>
  <si>
    <t>End-user training delivery (buyers, requesters, approvers)</t>
  </si>
  <si>
    <t>D-05</t>
  </si>
  <si>
    <t>Supplier onboarding communications</t>
  </si>
  <si>
    <t>D-06</t>
  </si>
  <si>
    <t>Production vendor master migration</t>
  </si>
  <si>
    <t>D-07</t>
  </si>
  <si>
    <t>Production cutover (config transport, integration switchover)</t>
  </si>
  <si>
    <t>D-08</t>
  </si>
  <si>
    <t>Go-live readiness review</t>
  </si>
  <si>
    <t>D-09</t>
  </si>
  <si>
    <t>Go-live</t>
  </si>
  <si>
    <t>N-01</t>
  </si>
  <si>
    <t>Run</t>
  </si>
  <si>
    <t>Support</t>
  </si>
  <si>
    <t>Hypercare ticket triage (Tier 1/2/3)</t>
  </si>
  <si>
    <t>David Mensah</t>
  </si>
  <si>
    <t>N-02</t>
  </si>
  <si>
    <t>Daily hypercare standup</t>
  </si>
  <si>
    <t>N-03</t>
  </si>
  <si>
    <t>Adoption metrics tracking</t>
  </si>
  <si>
    <t>N-04</t>
  </si>
  <si>
    <t>Lessons learned workshop</t>
  </si>
  <si>
    <t>N-05</t>
  </si>
  <si>
    <t>Transition to BAU support &amp; project closure</t>
  </si>
  <si>
    <t>W1 15-Jun</t>
  </si>
  <si>
    <t>W2 22-Jun</t>
  </si>
  <si>
    <t>W3 29-Jun</t>
  </si>
  <si>
    <t>W4 06-Jul</t>
  </si>
  <si>
    <t>W5 13-Jul</t>
  </si>
  <si>
    <t>W6 20-Jul</t>
  </si>
  <si>
    <t>W7 27-Jul</t>
  </si>
  <si>
    <t>W8 03-Aug</t>
  </si>
  <si>
    <t>W9 10-Aug</t>
  </si>
  <si>
    <t>W10 17-Aug</t>
  </si>
  <si>
    <t>W11 24-Aug</t>
  </si>
  <si>
    <t>W12 31-Aug</t>
  </si>
  <si>
    <t>W13 07-Sep</t>
  </si>
  <si>
    <t>W14 14-Sep</t>
  </si>
  <si>
    <t>W15 21-Sep</t>
  </si>
  <si>
    <t>W16 28-Sep</t>
  </si>
  <si>
    <t>W17 05-Oct</t>
  </si>
  <si>
    <t>W18 12-Oct</t>
  </si>
  <si>
    <t>W19 19-Oct</t>
  </si>
  <si>
    <t>W20 26-Oct</t>
  </si>
  <si>
    <t>W21 02-Nov</t>
  </si>
  <si>
    <t>W22 09-Nov</t>
  </si>
  <si>
    <t>W23 16-Nov</t>
  </si>
  <si>
    <t>W24 23-Nov</t>
  </si>
  <si>
    <t>Phase Legend:</t>
  </si>
  <si>
    <t>R = Responsible   |   A = Accountable   |   C = Consulted   |   I = Informed</t>
  </si>
  <si>
    <t>Daniel O'Connell
(Business Sponsor)</t>
  </si>
  <si>
    <t>Sara Lindqvist
(Program Manager)</t>
  </si>
  <si>
    <t>Helena Ruiz
(PMO Lead)</t>
  </si>
  <si>
    <t>Anika Patel
(SLP Lead)</t>
  </si>
  <si>
    <t>James Whitaker
(Buying Lead)</t>
  </si>
  <si>
    <t>Yusuf Khalil
(Integration Lead)</t>
  </si>
  <si>
    <t>Rina Takahashi
(Data Lead)</t>
  </si>
  <si>
    <t>Tom Becker
(Security Lead)</t>
  </si>
  <si>
    <t>Maya Greenfield
(Test Lead)</t>
  </si>
  <si>
    <t>Olivia Park
(Change Lead)</t>
  </si>
  <si>
    <t>David Mensah
(Support Lead)</t>
  </si>
  <si>
    <t>Ravi Subramanian
(Ariba Admin)</t>
  </si>
  <si>
    <t>Karen Faulkner
(UAT Lead)</t>
  </si>
  <si>
    <t>Project governance</t>
  </si>
  <si>
    <t>A</t>
  </si>
  <si>
    <t>R</t>
  </si>
  <si>
    <t>C</t>
  </si>
  <si>
    <t>I</t>
  </si>
  <si>
    <t>SLP - Registration &amp; qualification</t>
  </si>
  <si>
    <t>SLP - Supplier segmentation &amp; workflows</t>
  </si>
  <si>
    <t>Buying - Guided Buying &amp; policies</t>
  </si>
  <si>
    <t>Buying - Approvals &amp; catalogs</t>
  </si>
  <si>
    <t>Integration (SAP &lt;-&gt; Ariba)</t>
  </si>
  <si>
    <t>Vendor master &amp; data migration</t>
  </si>
  <si>
    <t>Security, SSO, user provisioning</t>
  </si>
  <si>
    <t>Testing (SIT)</t>
  </si>
  <si>
    <t>UAT</t>
  </si>
  <si>
    <t>Training &amp; change management</t>
  </si>
  <si>
    <t>Cutover &amp; go-live</t>
  </si>
  <si>
    <t>Hypercare</t>
  </si>
  <si>
    <t>ID</t>
  </si>
  <si>
    <t>Type</t>
  </si>
  <si>
    <t>Title</t>
  </si>
  <si>
    <t>Description</t>
  </si>
  <si>
    <t>Likelihood (H/M/L)</t>
  </si>
  <si>
    <t>Impact (H/M/L)</t>
  </si>
  <si>
    <t>Due Date</t>
  </si>
  <si>
    <t>Mitigation / Notes</t>
  </si>
  <si>
    <t>Risk</t>
  </si>
  <si>
    <t>Vendor master data quality</t>
  </si>
  <si>
    <t>Poor data quality in SAP delays SLP migration</t>
  </si>
  <si>
    <t>H</t>
  </si>
  <si>
    <t>Explore phase</t>
  </si>
  <si>
    <t>Open</t>
  </si>
  <si>
    <t>Run profiling in Explore (AI-8); allocate cleansing sprints. Source: BRD Sec 5, Vendor Master Extract</t>
  </si>
  <si>
    <t>Supplier adoption of registration</t>
  </si>
  <si>
    <t>Suppliers slow to complete self-registration; impacts SLP go-live</t>
  </si>
  <si>
    <t>M</t>
  </si>
  <si>
    <t>Supplier comms wave plan; concierge desk for top 50 suppliers</t>
  </si>
  <si>
    <t>CIG integration capacity</t>
  </si>
  <si>
    <t>Cloud Integration Gateway throughput constraints during peak</t>
  </si>
  <si>
    <t>Realize phase</t>
  </si>
  <si>
    <t>Performance test integration early; SAP support ticket on standby</t>
  </si>
  <si>
    <t>Catalog content readiness</t>
  </si>
  <si>
    <t>Suppliers unable to deliver CIF/PunchOut catalogs on time</t>
  </si>
  <si>
    <t>Stagger catalog onboarding; identify priority categories. Source: BRD Sec 2.3</t>
  </si>
  <si>
    <t>Approver hierarchy drift</t>
  </si>
  <si>
    <t>SAP HR org changes invalidate approval matrix before go-live</t>
  </si>
  <si>
    <t>L</t>
  </si>
  <si>
    <t>Deploy phase</t>
  </si>
  <si>
    <t>Lock org snapshot for cutover; daily sync pre-go-live</t>
  </si>
  <si>
    <t>CIG version compatibility with FPS01</t>
  </si>
  <si>
    <t>CIG version may not fully support S/4HANA 2023 FPS01 - to be re-verified before integration design lock</t>
  </si>
  <si>
    <t>Source: Kickoff MoM item R-006, flagged by Yusuf Khalil. Follow-up via AI-2</t>
  </si>
  <si>
    <t>Training population size</t>
  </si>
  <si>
    <t>3,400 requesters across NA plants is large for 4-week Deploy window</t>
  </si>
  <si>
    <t>Source: Kickoff MoM, Olivia Park. Wave plan to be proposed by Week 3</t>
  </si>
  <si>
    <t>Duplicate vendor records</t>
  </si>
  <si>
    <t>~4 confirmed duplicate pairs in Vendor Master Extract (Grainger, Siemens, TCS, Apex Lab Reagents); 2 records missing tax IDs</t>
  </si>
  <si>
    <t>Source: Vendor Master Extract. Run dedup sprint in Explore. V-101455 (test record) flagged for deletion</t>
  </si>
  <si>
    <t>A-01</t>
  </si>
  <si>
    <t>Assumption</t>
  </si>
  <si>
    <t>Ariba realm provisioning SLA</t>
  </si>
  <si>
    <t>SAP will provision Ariba test + prod realms within 5 business days of SOW signature</t>
  </si>
  <si>
    <t>Source: Project Charter Sec 6; AI-1 (Marcus, due 22 Jun)</t>
  </si>
  <si>
    <t>A-02</t>
  </si>
  <si>
    <t>S/4HANA FPS01 on supported CIG release</t>
  </si>
  <si>
    <t>SAP backend is on S/4HANA 2023 FPS01 and is supported by current CIG version</t>
  </si>
  <si>
    <t>Source: Charter Sec 6; AI-2 (Tom + Ravi, due 19 Jun). Critical for integration design</t>
  </si>
  <si>
    <t>A-03</t>
  </si>
  <si>
    <t>Vendor master stays in S/4HANA</t>
  </si>
  <si>
    <t>Vendor master remains system of record in S/4HANA; Ariba SLP is system of engagement</t>
  </si>
  <si>
    <t>Source: Charter Sec 6, confirmed in Kickoff MoM D-2</t>
  </si>
  <si>
    <t>A-04</t>
  </si>
  <si>
    <t>Single SSO IdP (Okta)</t>
  </si>
  <si>
    <t>Single Okta instance is the IdP for all user populations; SCIM provisioning in scope</t>
  </si>
  <si>
    <t>Source: Charter Sec 6; BRD Sec 4; AI-9 (Tom + Yusuf, due 26 Jun)</t>
  </si>
  <si>
    <t>A-05</t>
  </si>
  <si>
    <t>Brazil NF-e fields not required in Phase 1</t>
  </si>
  <si>
    <t>Brazil tax registration NF-e fields are out of scope for Phase 1 SLP registration form</t>
  </si>
  <si>
    <t>Hector Alvarez</t>
  </si>
  <si>
    <t>Source: BRD O-1 (open item); AI-7 (Hector + Rina, due 3 Jul). If required, adds configuration effort</t>
  </si>
  <si>
    <t>I-01</t>
  </si>
  <si>
    <t>Issue</t>
  </si>
  <si>
    <t>(placeholder)</t>
  </si>
  <si>
    <t>Open issue slot for team to populate</t>
  </si>
  <si>
    <t>I-02</t>
  </si>
  <si>
    <t>Capex committee approval matrix pending</t>
  </si>
  <si>
    <t>Finance has not confirmed Capex committee members for approval matrix configuration</t>
  </si>
  <si>
    <t>Felix Nguyen</t>
  </si>
  <si>
    <t>Source: BRD O-2; AI-10 (Felix, due 3 Jul). Blocks Guided Buying approval rule config</t>
  </si>
  <si>
    <t>I-03</t>
  </si>
  <si>
    <t>PunchOut go-live sequencing not confirmed</t>
  </si>
  <si>
    <t>Priority order for PunchOut supplier go-live not agreed</t>
  </si>
  <si>
    <t>Source: BRD O-3. Decision D-3 (Kickoff MoM) confirmed Grainger, Staples, CDW, Dell as priority order</t>
  </si>
  <si>
    <t>Dependency</t>
  </si>
  <si>
    <t>SAP basis team availability for CIG setup</t>
  </si>
  <si>
    <t>SAP basis resources required for CIG configuration; blocks integration build</t>
  </si>
  <si>
    <t>Confirm resource plan in Explore; align with AI-2</t>
  </si>
  <si>
    <t>Procurement policy sign-off</t>
  </si>
  <si>
    <t>Approved procurement policy required before Guided Buying design can be frozen</t>
  </si>
  <si>
    <t>Source: BRD Sec 2.1</t>
  </si>
  <si>
    <t>Master data governance decisions</t>
  </si>
  <si>
    <t>Vendor master governance decisions required before migration scope can be locked</t>
  </si>
  <si>
    <t>Source: BRD Sec 5; MoM D-2</t>
  </si>
  <si>
    <t>Top-8 CIF MRO supplier list</t>
  </si>
  <si>
    <t>Lena Brandt to confirm top-8 MRO suppliers and contacts for CIF catalog loading</t>
  </si>
  <si>
    <t>Lena Brandt</t>
  </si>
  <si>
    <t>Source: Kickoff MoM AI-3. Blocks R-07 (onboard pilot catalogs)</t>
  </si>
  <si>
    <t>Hypercare staffing model agreement</t>
  </si>
  <si>
    <t>Bluewave/Acme split for hypercare L1/L2/L3 support must be agreed before Deploy phase</t>
  </si>
  <si>
    <t>Source: BRD O-4; MoM D-4 (Bluewave L2/L3 for 4 wks; Ravi team ramps L1)</t>
  </si>
  <si>
    <t>Milestone</t>
  </si>
  <si>
    <t>Target Date</t>
  </si>
  <si>
    <t>Project kickoff</t>
  </si>
  <si>
    <t>Design sign-off (SLP + Buying)</t>
  </si>
  <si>
    <t>Integration build complete</t>
  </si>
  <si>
    <t>SIT exit</t>
  </si>
  <si>
    <t>GO-LIVE</t>
  </si>
  <si>
    <t>Hypercare exit / BAU transition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</si>
</sst>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rgb="FFFFFFFF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C87C"/>
        <bgColor indexed="64"/>
      </patternFill>
    </fill>
    <fill>
      <patternFill patternType="solid">
        <fgColor rgb="FFD8BFD8"/>
        <bgColor indexed="64"/>
      </patternFill>
    </fill>
    <fill>
      <patternFill patternType="solid">
        <fgColor rgb="FFD3D3D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5" fillId="3" borderId="1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7" fillId="0" borderId="4" xfId="0" applyFont="1" applyBorder="1"/>
    <xf numFmtId="0" fontId="7" fillId="4" borderId="5" xfId="0" applyFont="1" applyFill="1" applyBorder="1"/>
    <xf numFmtId="0" fontId="7" fillId="0" borderId="5" xfId="0" applyFont="1" applyBorder="1"/>
    <xf numFmtId="15" fontId="7" fillId="0" borderId="5" xfId="0" applyNumberFormat="1" applyFont="1" applyBorder="1"/>
    <xf numFmtId="9" fontId="7" fillId="0" borderId="5" xfId="0" applyNumberFormat="1" applyFont="1" applyBorder="1"/>
    <xf numFmtId="0" fontId="7" fillId="0" borderId="6" xfId="0" applyFont="1" applyBorder="1"/>
    <xf numFmtId="0" fontId="7" fillId="5" borderId="5" xfId="0" applyFont="1" applyFill="1" applyBorder="1"/>
    <xf numFmtId="0" fontId="7" fillId="6" borderId="5" xfId="0" applyFont="1" applyFill="1" applyBorder="1"/>
    <xf numFmtId="0" fontId="7" fillId="7" borderId="5" xfId="0" applyFont="1" applyFill="1" applyBorder="1"/>
    <xf numFmtId="0" fontId="4" fillId="0" borderId="4" xfId="0" applyFont="1" applyBorder="1"/>
    <xf numFmtId="0" fontId="4" fillId="7" borderId="5" xfId="0" applyFont="1" applyFill="1" applyBorder="1"/>
    <xf numFmtId="0" fontId="4" fillId="0" borderId="5" xfId="0" applyFont="1" applyBorder="1"/>
    <xf numFmtId="15" fontId="4" fillId="0" borderId="5" xfId="0" applyNumberFormat="1" applyFont="1" applyBorder="1"/>
    <xf numFmtId="9" fontId="4" fillId="0" borderId="5" xfId="0" applyNumberFormat="1" applyFont="1" applyBorder="1"/>
    <xf numFmtId="0" fontId="4" fillId="0" borderId="6" xfId="0" applyFont="1" applyBorder="1"/>
    <xf numFmtId="0" fontId="7" fillId="8" borderId="5" xfId="0" applyFont="1" applyFill="1" applyBorder="1"/>
    <xf numFmtId="0" fontId="7" fillId="0" borderId="7" xfId="0" applyFont="1" applyBorder="1"/>
    <xf numFmtId="0" fontId="7" fillId="8" borderId="8" xfId="0" applyFont="1" applyFill="1" applyBorder="1"/>
    <xf numFmtId="0" fontId="7" fillId="0" borderId="8" xfId="0" applyFont="1" applyBorder="1"/>
    <xf numFmtId="15" fontId="7" fillId="0" borderId="8" xfId="0" applyNumberFormat="1" applyFont="1" applyBorder="1"/>
    <xf numFmtId="9" fontId="7" fillId="0" borderId="8" xfId="0" applyNumberFormat="1" applyFont="1" applyBorder="1"/>
    <xf numFmtId="0" fontId="7" fillId="0" borderId="9" xfId="0" applyFont="1" applyBorder="1"/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5" fontId="7" fillId="0" borderId="6" xfId="0" applyNumberFormat="1" applyFont="1" applyBorder="1"/>
    <xf numFmtId="15" fontId="7" fillId="0" borderId="9" xfId="0" applyNumberFormat="1" applyFont="1" applyBorder="1"/>
    <xf numFmtId="0" fontId="4" fillId="0" borderId="0" xfId="0" applyFont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7" xfId="0" applyFont="1" applyBorder="1"/>
    <xf numFmtId="0" fontId="6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7" fillId="0" borderId="4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15" fontId="7" fillId="0" borderId="5" xfId="0" applyNumberFormat="1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3" fillId="0" borderId="4" xfId="0" applyFont="1" applyBorder="1"/>
    <xf numFmtId="15" fontId="3" fillId="0" borderId="5" xfId="0" applyNumberFormat="1" applyFont="1" applyBorder="1"/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49F5-94BB-4EC8-8B54-6D74346D75F3}">
  <dimension ref="A1:K48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8.7109375" customWidth="1"/>
    <col min="2" max="2" width="10.7109375" customWidth="1"/>
    <col min="3" max="3" width="12.7109375" customWidth="1"/>
    <col min="4" max="4" width="46.7109375" customWidth="1"/>
    <col min="5" max="5" width="26.7109375" customWidth="1"/>
    <col min="6" max="7" width="12.7109375" customWidth="1"/>
    <col min="8" max="8" width="14.7109375" customWidth="1"/>
    <col min="9" max="10" width="12.7109375" customWidth="1"/>
    <col min="11" max="11" width="30.7109375" customWidth="1"/>
  </cols>
  <sheetData>
    <row r="1" spans="1:11" ht="32.1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30" customHeight="1" x14ac:dyDescent="0.25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1" t="s">
        <v>11</v>
      </c>
    </row>
    <row r="3" spans="1:11" x14ac:dyDescent="0.25">
      <c r="A3" s="12" t="s">
        <v>12</v>
      </c>
      <c r="B3" s="13" t="s">
        <v>13</v>
      </c>
      <c r="C3" s="14" t="s">
        <v>14</v>
      </c>
      <c r="D3" s="14" t="s">
        <v>15</v>
      </c>
      <c r="E3" s="14" t="s">
        <v>16</v>
      </c>
      <c r="F3" s="15">
        <f>DATE(2026,6,15)</f>
        <v>46188</v>
      </c>
      <c r="G3" s="15">
        <f>DATE(2026,6,15)</f>
        <v>46188</v>
      </c>
      <c r="H3" s="14">
        <v>1</v>
      </c>
      <c r="I3" s="16">
        <v>0</v>
      </c>
      <c r="J3" s="14" t="s">
        <v>17</v>
      </c>
      <c r="K3" s="17"/>
    </row>
    <row r="4" spans="1:11" x14ac:dyDescent="0.25">
      <c r="A4" s="12" t="s">
        <v>18</v>
      </c>
      <c r="B4" s="13" t="s">
        <v>13</v>
      </c>
      <c r="C4" s="14" t="s">
        <v>14</v>
      </c>
      <c r="D4" s="14" t="s">
        <v>19</v>
      </c>
      <c r="E4" s="14" t="s">
        <v>20</v>
      </c>
      <c r="F4" s="15">
        <f>DATE(2026,6,15)</f>
        <v>46188</v>
      </c>
      <c r="G4" s="15">
        <f>DATE(2026,6,19)</f>
        <v>46192</v>
      </c>
      <c r="H4" s="14">
        <v>5</v>
      </c>
      <c r="I4" s="16">
        <v>0</v>
      </c>
      <c r="J4" s="14" t="s">
        <v>17</v>
      </c>
      <c r="K4" s="17"/>
    </row>
    <row r="5" spans="1:11" x14ac:dyDescent="0.25">
      <c r="A5" s="12" t="s">
        <v>21</v>
      </c>
      <c r="B5" s="13" t="s">
        <v>13</v>
      </c>
      <c r="C5" s="14" t="s">
        <v>14</v>
      </c>
      <c r="D5" s="14" t="s">
        <v>22</v>
      </c>
      <c r="E5" s="14" t="s">
        <v>20</v>
      </c>
      <c r="F5" s="15">
        <f>DATE(2026,6,18)</f>
        <v>46191</v>
      </c>
      <c r="G5" s="15">
        <f>DATE(2026,6,22)</f>
        <v>46195</v>
      </c>
      <c r="H5" s="14">
        <v>5</v>
      </c>
      <c r="I5" s="16">
        <v>0</v>
      </c>
      <c r="J5" s="14" t="s">
        <v>17</v>
      </c>
      <c r="K5" s="17"/>
    </row>
    <row r="6" spans="1:11" x14ac:dyDescent="0.25">
      <c r="A6" s="12" t="s">
        <v>23</v>
      </c>
      <c r="B6" s="13" t="s">
        <v>13</v>
      </c>
      <c r="C6" s="14" t="s">
        <v>14</v>
      </c>
      <c r="D6" s="14" t="s">
        <v>24</v>
      </c>
      <c r="E6" s="14" t="s">
        <v>25</v>
      </c>
      <c r="F6" s="15">
        <f>DATE(2026,6,22)</f>
        <v>46195</v>
      </c>
      <c r="G6" s="15">
        <f>DATE(2026,6,26)</f>
        <v>46199</v>
      </c>
      <c r="H6" s="14">
        <v>5</v>
      </c>
      <c r="I6" s="16">
        <v>0</v>
      </c>
      <c r="J6" s="14" t="s">
        <v>17</v>
      </c>
      <c r="K6" s="17"/>
    </row>
    <row r="7" spans="1:11" x14ac:dyDescent="0.25">
      <c r="A7" s="12" t="s">
        <v>26</v>
      </c>
      <c r="B7" s="13" t="s">
        <v>13</v>
      </c>
      <c r="C7" s="14" t="s">
        <v>27</v>
      </c>
      <c r="D7" s="14" t="s">
        <v>28</v>
      </c>
      <c r="E7" s="14" t="s">
        <v>29</v>
      </c>
      <c r="F7" s="15">
        <f>DATE(2026,6,15)</f>
        <v>46188</v>
      </c>
      <c r="G7" s="15">
        <f>DATE(2026,6,22)</f>
        <v>46195</v>
      </c>
      <c r="H7" s="14">
        <v>8</v>
      </c>
      <c r="I7" s="16">
        <v>0</v>
      </c>
      <c r="J7" s="14" t="s">
        <v>17</v>
      </c>
      <c r="K7" s="17"/>
    </row>
    <row r="8" spans="1:11" x14ac:dyDescent="0.25">
      <c r="A8" s="12" t="s">
        <v>30</v>
      </c>
      <c r="B8" s="13" t="s">
        <v>13</v>
      </c>
      <c r="C8" s="14" t="s">
        <v>27</v>
      </c>
      <c r="D8" s="14" t="s">
        <v>31</v>
      </c>
      <c r="E8" s="14" t="s">
        <v>32</v>
      </c>
      <c r="F8" s="15">
        <f>DATE(2026,6,22)</f>
        <v>46195</v>
      </c>
      <c r="G8" s="15">
        <f>DATE(2026,6,26)</f>
        <v>46199</v>
      </c>
      <c r="H8" s="14">
        <v>5</v>
      </c>
      <c r="I8" s="16">
        <v>0</v>
      </c>
      <c r="J8" s="14" t="s">
        <v>17</v>
      </c>
      <c r="K8" s="17"/>
    </row>
    <row r="9" spans="1:11" x14ac:dyDescent="0.25">
      <c r="A9" s="12" t="s">
        <v>33</v>
      </c>
      <c r="B9" s="13" t="s">
        <v>13</v>
      </c>
      <c r="C9" s="14" t="s">
        <v>34</v>
      </c>
      <c r="D9" s="14" t="s">
        <v>35</v>
      </c>
      <c r="E9" s="14" t="s">
        <v>36</v>
      </c>
      <c r="F9" s="15">
        <f>DATE(2026,6,15)</f>
        <v>46188</v>
      </c>
      <c r="G9" s="15">
        <f>DATE(2026,6,26)</f>
        <v>46199</v>
      </c>
      <c r="H9" s="14">
        <v>12</v>
      </c>
      <c r="I9" s="16">
        <v>0</v>
      </c>
      <c r="J9" s="14" t="s">
        <v>17</v>
      </c>
      <c r="K9" s="17"/>
    </row>
    <row r="10" spans="1:11" x14ac:dyDescent="0.25">
      <c r="A10" s="12" t="s">
        <v>37</v>
      </c>
      <c r="B10" s="18" t="s">
        <v>38</v>
      </c>
      <c r="C10" s="14" t="s">
        <v>39</v>
      </c>
      <c r="D10" s="14" t="s">
        <v>40</v>
      </c>
      <c r="E10" s="14" t="s">
        <v>41</v>
      </c>
      <c r="F10" s="15">
        <f>DATE(2026,6,29)</f>
        <v>46202</v>
      </c>
      <c r="G10" s="15">
        <f>DATE(2026,7,3)</f>
        <v>46206</v>
      </c>
      <c r="H10" s="14">
        <v>5</v>
      </c>
      <c r="I10" s="16">
        <v>0</v>
      </c>
      <c r="J10" s="14" t="s">
        <v>17</v>
      </c>
      <c r="K10" s="17"/>
    </row>
    <row r="11" spans="1:11" x14ac:dyDescent="0.25">
      <c r="A11" s="12" t="s">
        <v>42</v>
      </c>
      <c r="B11" s="18" t="s">
        <v>38</v>
      </c>
      <c r="C11" s="14" t="s">
        <v>39</v>
      </c>
      <c r="D11" s="14" t="s">
        <v>43</v>
      </c>
      <c r="E11" s="14" t="s">
        <v>41</v>
      </c>
      <c r="F11" s="15">
        <f>DATE(2026,7,6)</f>
        <v>46209</v>
      </c>
      <c r="G11" s="15">
        <f>DATE(2026,7,10)</f>
        <v>46213</v>
      </c>
      <c r="H11" s="14">
        <v>5</v>
      </c>
      <c r="I11" s="16">
        <v>0</v>
      </c>
      <c r="J11" s="14" t="s">
        <v>17</v>
      </c>
      <c r="K11" s="17"/>
    </row>
    <row r="12" spans="1:11" x14ac:dyDescent="0.25">
      <c r="A12" s="12" t="s">
        <v>44</v>
      </c>
      <c r="B12" s="18" t="s">
        <v>38</v>
      </c>
      <c r="C12" s="14" t="s">
        <v>39</v>
      </c>
      <c r="D12" s="14" t="s">
        <v>45</v>
      </c>
      <c r="E12" s="14" t="s">
        <v>41</v>
      </c>
      <c r="F12" s="15">
        <f>DATE(2026,7,7)</f>
        <v>46210</v>
      </c>
      <c r="G12" s="15">
        <f>DATE(2026,7,14)</f>
        <v>46217</v>
      </c>
      <c r="H12" s="14">
        <v>8</v>
      </c>
      <c r="I12" s="16">
        <v>0</v>
      </c>
      <c r="J12" s="14" t="s">
        <v>17</v>
      </c>
      <c r="K12" s="17"/>
    </row>
    <row r="13" spans="1:11" x14ac:dyDescent="0.25">
      <c r="A13" s="12" t="s">
        <v>46</v>
      </c>
      <c r="B13" s="18" t="s">
        <v>38</v>
      </c>
      <c r="C13" s="14" t="s">
        <v>39</v>
      </c>
      <c r="D13" s="14" t="s">
        <v>47</v>
      </c>
      <c r="E13" s="14" t="s">
        <v>41</v>
      </c>
      <c r="F13" s="15">
        <f>DATE(2026,7,13)</f>
        <v>46216</v>
      </c>
      <c r="G13" s="15">
        <f>DATE(2026,7,17)</f>
        <v>46220</v>
      </c>
      <c r="H13" s="14">
        <v>5</v>
      </c>
      <c r="I13" s="16">
        <v>0</v>
      </c>
      <c r="J13" s="14" t="s">
        <v>17</v>
      </c>
      <c r="K13" s="17"/>
    </row>
    <row r="14" spans="1:11" x14ac:dyDescent="0.25">
      <c r="A14" s="12" t="s">
        <v>48</v>
      </c>
      <c r="B14" s="18" t="s">
        <v>38</v>
      </c>
      <c r="C14" s="14" t="s">
        <v>49</v>
      </c>
      <c r="D14" s="14" t="s">
        <v>50</v>
      </c>
      <c r="E14" s="14" t="s">
        <v>51</v>
      </c>
      <c r="F14" s="15">
        <f>DATE(2026,6,29)</f>
        <v>46202</v>
      </c>
      <c r="G14" s="15">
        <f>DATE(2026,7,3)</f>
        <v>46206</v>
      </c>
      <c r="H14" s="14">
        <v>5</v>
      </c>
      <c r="I14" s="16">
        <v>0</v>
      </c>
      <c r="J14" s="14" t="s">
        <v>17</v>
      </c>
      <c r="K14" s="17"/>
    </row>
    <row r="15" spans="1:11" x14ac:dyDescent="0.25">
      <c r="A15" s="12" t="s">
        <v>52</v>
      </c>
      <c r="B15" s="18" t="s">
        <v>38</v>
      </c>
      <c r="C15" s="14" t="s">
        <v>49</v>
      </c>
      <c r="D15" s="14" t="s">
        <v>53</v>
      </c>
      <c r="E15" s="14" t="s">
        <v>51</v>
      </c>
      <c r="F15" s="15">
        <f>DATE(2026,7,6)</f>
        <v>46209</v>
      </c>
      <c r="G15" s="15">
        <f>DATE(2026,7,10)</f>
        <v>46213</v>
      </c>
      <c r="H15" s="14">
        <v>5</v>
      </c>
      <c r="I15" s="16">
        <v>0</v>
      </c>
      <c r="J15" s="14" t="s">
        <v>17</v>
      </c>
      <c r="K15" s="17"/>
    </row>
    <row r="16" spans="1:11" x14ac:dyDescent="0.25">
      <c r="A16" s="12" t="s">
        <v>54</v>
      </c>
      <c r="B16" s="18" t="s">
        <v>38</v>
      </c>
      <c r="C16" s="14" t="s">
        <v>49</v>
      </c>
      <c r="D16" s="14" t="s">
        <v>55</v>
      </c>
      <c r="E16" s="14" t="s">
        <v>51</v>
      </c>
      <c r="F16" s="15">
        <f>DATE(2026,7,13)</f>
        <v>46216</v>
      </c>
      <c r="G16" s="15">
        <f>DATE(2026,7,17)</f>
        <v>46220</v>
      </c>
      <c r="H16" s="14">
        <v>5</v>
      </c>
      <c r="I16" s="16">
        <v>0</v>
      </c>
      <c r="J16" s="14" t="s">
        <v>17</v>
      </c>
      <c r="K16" s="17"/>
    </row>
    <row r="17" spans="1:11" x14ac:dyDescent="0.25">
      <c r="A17" s="12" t="s">
        <v>56</v>
      </c>
      <c r="B17" s="18" t="s">
        <v>38</v>
      </c>
      <c r="C17" s="14" t="s">
        <v>49</v>
      </c>
      <c r="D17" s="14" t="s">
        <v>57</v>
      </c>
      <c r="E17" s="14" t="s">
        <v>51</v>
      </c>
      <c r="F17" s="15">
        <f>DATE(2026,7,20)</f>
        <v>46223</v>
      </c>
      <c r="G17" s="15">
        <f>DATE(2026,7,24)</f>
        <v>46227</v>
      </c>
      <c r="H17" s="14">
        <v>5</v>
      </c>
      <c r="I17" s="16">
        <v>0</v>
      </c>
      <c r="J17" s="14" t="s">
        <v>17</v>
      </c>
      <c r="K17" s="17"/>
    </row>
    <row r="18" spans="1:11" x14ac:dyDescent="0.25">
      <c r="A18" s="12" t="s">
        <v>58</v>
      </c>
      <c r="B18" s="18" t="s">
        <v>38</v>
      </c>
      <c r="C18" s="14" t="s">
        <v>27</v>
      </c>
      <c r="D18" s="14" t="s">
        <v>59</v>
      </c>
      <c r="E18" s="14" t="s">
        <v>32</v>
      </c>
      <c r="F18" s="15">
        <f>DATE(2026,6,29)</f>
        <v>46202</v>
      </c>
      <c r="G18" s="15">
        <f>DATE(2026,7,17)</f>
        <v>46220</v>
      </c>
      <c r="H18" s="14">
        <v>19</v>
      </c>
      <c r="I18" s="16">
        <v>0</v>
      </c>
      <c r="J18" s="14" t="s">
        <v>17</v>
      </c>
      <c r="K18" s="17"/>
    </row>
    <row r="19" spans="1:11" x14ac:dyDescent="0.25">
      <c r="A19" s="12" t="s">
        <v>60</v>
      </c>
      <c r="B19" s="18" t="s">
        <v>38</v>
      </c>
      <c r="C19" s="14" t="s">
        <v>27</v>
      </c>
      <c r="D19" s="14" t="s">
        <v>61</v>
      </c>
      <c r="E19" s="14" t="s">
        <v>62</v>
      </c>
      <c r="F19" s="15">
        <f>DATE(2026,7,14)</f>
        <v>46217</v>
      </c>
      <c r="G19" s="15">
        <f>DATE(2026,7,17)</f>
        <v>46220</v>
      </c>
      <c r="H19" s="14">
        <v>4</v>
      </c>
      <c r="I19" s="16">
        <v>0</v>
      </c>
      <c r="J19" s="14" t="s">
        <v>17</v>
      </c>
      <c r="K19" s="17"/>
    </row>
    <row r="20" spans="1:11" x14ac:dyDescent="0.25">
      <c r="A20" s="12" t="s">
        <v>63</v>
      </c>
      <c r="B20" s="18" t="s">
        <v>38</v>
      </c>
      <c r="C20" s="14" t="s">
        <v>64</v>
      </c>
      <c r="D20" s="14" t="s">
        <v>65</v>
      </c>
      <c r="E20" s="14" t="s">
        <v>66</v>
      </c>
      <c r="F20" s="15">
        <f>DATE(2026,6,29)</f>
        <v>46202</v>
      </c>
      <c r="G20" s="15">
        <f>DATE(2026,7,24)</f>
        <v>46227</v>
      </c>
      <c r="H20" s="14">
        <v>26</v>
      </c>
      <c r="I20" s="16">
        <v>0</v>
      </c>
      <c r="J20" s="14" t="s">
        <v>17</v>
      </c>
      <c r="K20" s="17"/>
    </row>
    <row r="21" spans="1:11" x14ac:dyDescent="0.25">
      <c r="A21" s="12" t="s">
        <v>67</v>
      </c>
      <c r="B21" s="18" t="s">
        <v>38</v>
      </c>
      <c r="C21" s="14" t="s">
        <v>34</v>
      </c>
      <c r="D21" s="14" t="s">
        <v>68</v>
      </c>
      <c r="E21" s="14" t="s">
        <v>36</v>
      </c>
      <c r="F21" s="15">
        <f>DATE(2026,7,27)</f>
        <v>46230</v>
      </c>
      <c r="G21" s="15">
        <f>DATE(2026,7,31)</f>
        <v>46234</v>
      </c>
      <c r="H21" s="14">
        <v>5</v>
      </c>
      <c r="I21" s="16">
        <v>0</v>
      </c>
      <c r="J21" s="14" t="s">
        <v>17</v>
      </c>
      <c r="K21" s="17"/>
    </row>
    <row r="22" spans="1:11" x14ac:dyDescent="0.25">
      <c r="A22" s="12" t="s">
        <v>69</v>
      </c>
      <c r="B22" s="19" t="s">
        <v>70</v>
      </c>
      <c r="C22" s="14" t="s">
        <v>39</v>
      </c>
      <c r="D22" s="14" t="s">
        <v>71</v>
      </c>
      <c r="E22" s="14" t="s">
        <v>41</v>
      </c>
      <c r="F22" s="15">
        <f>DATE(2026,8,3)</f>
        <v>46237</v>
      </c>
      <c r="G22" s="15">
        <f>DATE(2026,8,14)</f>
        <v>46248</v>
      </c>
      <c r="H22" s="14">
        <v>12</v>
      </c>
      <c r="I22" s="16">
        <v>0</v>
      </c>
      <c r="J22" s="14" t="s">
        <v>17</v>
      </c>
      <c r="K22" s="17"/>
    </row>
    <row r="23" spans="1:11" x14ac:dyDescent="0.25">
      <c r="A23" s="12" t="s">
        <v>72</v>
      </c>
      <c r="B23" s="19" t="s">
        <v>70</v>
      </c>
      <c r="C23" s="14" t="s">
        <v>39</v>
      </c>
      <c r="D23" s="14" t="s">
        <v>73</v>
      </c>
      <c r="E23" s="14" t="s">
        <v>41</v>
      </c>
      <c r="F23" s="15">
        <f>DATE(2026,8,17)</f>
        <v>46251</v>
      </c>
      <c r="G23" s="15">
        <f>DATE(2026,8,21)</f>
        <v>46255</v>
      </c>
      <c r="H23" s="14">
        <v>5</v>
      </c>
      <c r="I23" s="16">
        <v>0</v>
      </c>
      <c r="J23" s="14" t="s">
        <v>17</v>
      </c>
      <c r="K23" s="17"/>
    </row>
    <row r="24" spans="1:11" x14ac:dyDescent="0.25">
      <c r="A24" s="12" t="s">
        <v>74</v>
      </c>
      <c r="B24" s="19" t="s">
        <v>70</v>
      </c>
      <c r="C24" s="14" t="s">
        <v>39</v>
      </c>
      <c r="D24" s="14" t="s">
        <v>75</v>
      </c>
      <c r="E24" s="14" t="s">
        <v>41</v>
      </c>
      <c r="F24" s="15">
        <f>DATE(2026,8,24)</f>
        <v>46258</v>
      </c>
      <c r="G24" s="15">
        <f>DATE(2026,8,28)</f>
        <v>46262</v>
      </c>
      <c r="H24" s="14">
        <v>5</v>
      </c>
      <c r="I24" s="16">
        <v>0</v>
      </c>
      <c r="J24" s="14" t="s">
        <v>17</v>
      </c>
      <c r="K24" s="17"/>
    </row>
    <row r="25" spans="1:11" x14ac:dyDescent="0.25">
      <c r="A25" s="12" t="s">
        <v>76</v>
      </c>
      <c r="B25" s="19" t="s">
        <v>70</v>
      </c>
      <c r="C25" s="14" t="s">
        <v>49</v>
      </c>
      <c r="D25" s="14" t="s">
        <v>77</v>
      </c>
      <c r="E25" s="14" t="s">
        <v>51</v>
      </c>
      <c r="F25" s="15">
        <f>DATE(2026,8,3)</f>
        <v>46237</v>
      </c>
      <c r="G25" s="15">
        <f>DATE(2026,8,14)</f>
        <v>46248</v>
      </c>
      <c r="H25" s="14">
        <v>12</v>
      </c>
      <c r="I25" s="16">
        <v>0</v>
      </c>
      <c r="J25" s="14" t="s">
        <v>17</v>
      </c>
      <c r="K25" s="17"/>
    </row>
    <row r="26" spans="1:11" x14ac:dyDescent="0.25">
      <c r="A26" s="12" t="s">
        <v>78</v>
      </c>
      <c r="B26" s="19" t="s">
        <v>70</v>
      </c>
      <c r="C26" s="14" t="s">
        <v>49</v>
      </c>
      <c r="D26" s="14" t="s">
        <v>79</v>
      </c>
      <c r="E26" s="14" t="s">
        <v>51</v>
      </c>
      <c r="F26" s="15">
        <f>DATE(2026,8,17)</f>
        <v>46251</v>
      </c>
      <c r="G26" s="15">
        <f>DATE(2026,8,21)</f>
        <v>46255</v>
      </c>
      <c r="H26" s="14">
        <v>5</v>
      </c>
      <c r="I26" s="16">
        <v>0</v>
      </c>
      <c r="J26" s="14" t="s">
        <v>17</v>
      </c>
      <c r="K26" s="17"/>
    </row>
    <row r="27" spans="1:11" x14ac:dyDescent="0.25">
      <c r="A27" s="12" t="s">
        <v>80</v>
      </c>
      <c r="B27" s="19" t="s">
        <v>70</v>
      </c>
      <c r="C27" s="14" t="s">
        <v>49</v>
      </c>
      <c r="D27" s="14" t="s">
        <v>81</v>
      </c>
      <c r="E27" s="14" t="s">
        <v>51</v>
      </c>
      <c r="F27" s="15">
        <f>DATE(2026,8,24)</f>
        <v>46258</v>
      </c>
      <c r="G27" s="15">
        <f>DATE(2026,8,28)</f>
        <v>46262</v>
      </c>
      <c r="H27" s="14">
        <v>5</v>
      </c>
      <c r="I27" s="16">
        <v>0</v>
      </c>
      <c r="J27" s="14" t="s">
        <v>17</v>
      </c>
      <c r="K27" s="17"/>
    </row>
    <row r="28" spans="1:11" x14ac:dyDescent="0.25">
      <c r="A28" s="12" t="s">
        <v>82</v>
      </c>
      <c r="B28" s="19" t="s">
        <v>70</v>
      </c>
      <c r="C28" s="14" t="s">
        <v>49</v>
      </c>
      <c r="D28" s="14" t="s">
        <v>83</v>
      </c>
      <c r="E28" s="14" t="s">
        <v>51</v>
      </c>
      <c r="F28" s="15">
        <f>DATE(2026,8,31)</f>
        <v>46265</v>
      </c>
      <c r="G28" s="15">
        <f>DATE(2026,9,4)</f>
        <v>46269</v>
      </c>
      <c r="H28" s="14">
        <v>5</v>
      </c>
      <c r="I28" s="16">
        <v>0</v>
      </c>
      <c r="J28" s="14" t="s">
        <v>17</v>
      </c>
      <c r="K28" s="17"/>
    </row>
    <row r="29" spans="1:11" x14ac:dyDescent="0.25">
      <c r="A29" s="12" t="s">
        <v>84</v>
      </c>
      <c r="B29" s="19" t="s">
        <v>70</v>
      </c>
      <c r="C29" s="14" t="s">
        <v>27</v>
      </c>
      <c r="D29" s="14" t="s">
        <v>85</v>
      </c>
      <c r="E29" s="14" t="s">
        <v>32</v>
      </c>
      <c r="F29" s="15">
        <f>DATE(2026,8,3)</f>
        <v>46237</v>
      </c>
      <c r="G29" s="15">
        <f>DATE(2026,9,11)</f>
        <v>46276</v>
      </c>
      <c r="H29" s="14">
        <v>40</v>
      </c>
      <c r="I29" s="16">
        <v>0</v>
      </c>
      <c r="J29" s="14" t="s">
        <v>17</v>
      </c>
      <c r="K29" s="17"/>
    </row>
    <row r="30" spans="1:11" x14ac:dyDescent="0.25">
      <c r="A30" s="12" t="s">
        <v>86</v>
      </c>
      <c r="B30" s="19" t="s">
        <v>70</v>
      </c>
      <c r="C30" s="14" t="s">
        <v>27</v>
      </c>
      <c r="D30" s="14" t="s">
        <v>87</v>
      </c>
      <c r="E30" s="14" t="s">
        <v>62</v>
      </c>
      <c r="F30" s="15">
        <f>DATE(2026,8,17)</f>
        <v>46251</v>
      </c>
      <c r="G30" s="15">
        <f>DATE(2026,8,21)</f>
        <v>46255</v>
      </c>
      <c r="H30" s="14">
        <v>5</v>
      </c>
      <c r="I30" s="16">
        <v>0</v>
      </c>
      <c r="J30" s="14" t="s">
        <v>17</v>
      </c>
      <c r="K30" s="17"/>
    </row>
    <row r="31" spans="1:11" x14ac:dyDescent="0.25">
      <c r="A31" s="12" t="s">
        <v>88</v>
      </c>
      <c r="B31" s="19" t="s">
        <v>70</v>
      </c>
      <c r="C31" s="14" t="s">
        <v>64</v>
      </c>
      <c r="D31" s="14" t="s">
        <v>89</v>
      </c>
      <c r="E31" s="14" t="s">
        <v>66</v>
      </c>
      <c r="F31" s="15">
        <f>DATE(2026,8,3)</f>
        <v>46237</v>
      </c>
      <c r="G31" s="15">
        <f>DATE(2026,9,4)</f>
        <v>46269</v>
      </c>
      <c r="H31" s="14">
        <v>33</v>
      </c>
      <c r="I31" s="16">
        <v>0</v>
      </c>
      <c r="J31" s="14" t="s">
        <v>17</v>
      </c>
      <c r="K31" s="17"/>
    </row>
    <row r="32" spans="1:11" x14ac:dyDescent="0.25">
      <c r="A32" s="12" t="s">
        <v>90</v>
      </c>
      <c r="B32" s="19" t="s">
        <v>70</v>
      </c>
      <c r="C32" s="14" t="s">
        <v>91</v>
      </c>
      <c r="D32" s="14" t="s">
        <v>92</v>
      </c>
      <c r="E32" s="14" t="s">
        <v>93</v>
      </c>
      <c r="F32" s="15">
        <f>DATE(2026,9,7)</f>
        <v>46272</v>
      </c>
      <c r="G32" s="15">
        <f>DATE(2026,9,18)</f>
        <v>46283</v>
      </c>
      <c r="H32" s="14">
        <v>12</v>
      </c>
      <c r="I32" s="16">
        <v>0</v>
      </c>
      <c r="J32" s="14" t="s">
        <v>17</v>
      </c>
      <c r="K32" s="17"/>
    </row>
    <row r="33" spans="1:11" x14ac:dyDescent="0.25">
      <c r="A33" s="12" t="s">
        <v>94</v>
      </c>
      <c r="B33" s="19" t="s">
        <v>70</v>
      </c>
      <c r="C33" s="14" t="s">
        <v>91</v>
      </c>
      <c r="D33" s="14" t="s">
        <v>95</v>
      </c>
      <c r="E33" s="14" t="s">
        <v>93</v>
      </c>
      <c r="F33" s="15">
        <f>DATE(2026,9,21)</f>
        <v>46286</v>
      </c>
      <c r="G33" s="15">
        <f>DATE(2026,10,2)</f>
        <v>46297</v>
      </c>
      <c r="H33" s="14">
        <v>12</v>
      </c>
      <c r="I33" s="16">
        <v>0</v>
      </c>
      <c r="J33" s="14" t="s">
        <v>17</v>
      </c>
      <c r="K33" s="17"/>
    </row>
    <row r="34" spans="1:11" x14ac:dyDescent="0.25">
      <c r="A34" s="12" t="s">
        <v>96</v>
      </c>
      <c r="B34" s="19" t="s">
        <v>70</v>
      </c>
      <c r="C34" s="14" t="s">
        <v>34</v>
      </c>
      <c r="D34" s="14" t="s">
        <v>97</v>
      </c>
      <c r="E34" s="14" t="s">
        <v>36</v>
      </c>
      <c r="F34" s="15">
        <f>DATE(2026,8,3)</f>
        <v>46237</v>
      </c>
      <c r="G34" s="15">
        <f>DATE(2026,9,4)</f>
        <v>46269</v>
      </c>
      <c r="H34" s="14">
        <v>33</v>
      </c>
      <c r="I34" s="16">
        <v>0</v>
      </c>
      <c r="J34" s="14" t="s">
        <v>17</v>
      </c>
      <c r="K34" s="17"/>
    </row>
    <row r="35" spans="1:11" x14ac:dyDescent="0.25">
      <c r="A35" s="12" t="s">
        <v>98</v>
      </c>
      <c r="B35" s="20" t="s">
        <v>99</v>
      </c>
      <c r="C35" s="14" t="s">
        <v>91</v>
      </c>
      <c r="D35" s="14" t="s">
        <v>100</v>
      </c>
      <c r="E35" s="14" t="s">
        <v>93</v>
      </c>
      <c r="F35" s="15">
        <f>DATE(2026,10,5)</f>
        <v>46300</v>
      </c>
      <c r="G35" s="15">
        <f>DATE(2026,10,7)</f>
        <v>46302</v>
      </c>
      <c r="H35" s="14">
        <v>3</v>
      </c>
      <c r="I35" s="16">
        <v>0</v>
      </c>
      <c r="J35" s="14" t="s">
        <v>17</v>
      </c>
      <c r="K35" s="17"/>
    </row>
    <row r="36" spans="1:11" x14ac:dyDescent="0.25">
      <c r="A36" s="12" t="s">
        <v>101</v>
      </c>
      <c r="B36" s="20" t="s">
        <v>99</v>
      </c>
      <c r="C36" s="14" t="s">
        <v>91</v>
      </c>
      <c r="D36" s="14" t="s">
        <v>102</v>
      </c>
      <c r="E36" s="14" t="s">
        <v>103</v>
      </c>
      <c r="F36" s="15">
        <f>DATE(2026,10,8)</f>
        <v>46303</v>
      </c>
      <c r="G36" s="15">
        <f>DATE(2026,10,17)</f>
        <v>46312</v>
      </c>
      <c r="H36" s="14">
        <v>10</v>
      </c>
      <c r="I36" s="16">
        <v>0</v>
      </c>
      <c r="J36" s="14" t="s">
        <v>17</v>
      </c>
      <c r="K36" s="17"/>
    </row>
    <row r="37" spans="1:11" x14ac:dyDescent="0.25">
      <c r="A37" s="12" t="s">
        <v>104</v>
      </c>
      <c r="B37" s="20" t="s">
        <v>99</v>
      </c>
      <c r="C37" s="14" t="s">
        <v>91</v>
      </c>
      <c r="D37" s="14" t="s">
        <v>105</v>
      </c>
      <c r="E37" s="14" t="s">
        <v>106</v>
      </c>
      <c r="F37" s="15">
        <f>DATE(2026,10,22)</f>
        <v>46317</v>
      </c>
      <c r="G37" s="15">
        <f>DATE(2026,10,23)</f>
        <v>46318</v>
      </c>
      <c r="H37" s="14">
        <v>2</v>
      </c>
      <c r="I37" s="16">
        <v>0</v>
      </c>
      <c r="J37" s="14" t="s">
        <v>17</v>
      </c>
      <c r="K37" s="17"/>
    </row>
    <row r="38" spans="1:11" x14ac:dyDescent="0.25">
      <c r="A38" s="12" t="s">
        <v>107</v>
      </c>
      <c r="B38" s="20" t="s">
        <v>99</v>
      </c>
      <c r="C38" s="14" t="s">
        <v>34</v>
      </c>
      <c r="D38" s="14" t="s">
        <v>108</v>
      </c>
      <c r="E38" s="14" t="s">
        <v>36</v>
      </c>
      <c r="F38" s="15">
        <f>DATE(2026,10,7)</f>
        <v>46302</v>
      </c>
      <c r="G38" s="15">
        <f>DATE(2026,10,16)</f>
        <v>46311</v>
      </c>
      <c r="H38" s="14">
        <v>10</v>
      </c>
      <c r="I38" s="16">
        <v>0</v>
      </c>
      <c r="J38" s="14" t="s">
        <v>17</v>
      </c>
      <c r="K38" s="17"/>
    </row>
    <row r="39" spans="1:11" x14ac:dyDescent="0.25">
      <c r="A39" s="12" t="s">
        <v>109</v>
      </c>
      <c r="B39" s="20" t="s">
        <v>99</v>
      </c>
      <c r="C39" s="14" t="s">
        <v>34</v>
      </c>
      <c r="D39" s="14" t="s">
        <v>110</v>
      </c>
      <c r="E39" s="14" t="s">
        <v>36</v>
      </c>
      <c r="F39" s="15">
        <f>DATE(2026,10,7)</f>
        <v>46302</v>
      </c>
      <c r="G39" s="15">
        <f>DATE(2026,10,16)</f>
        <v>46311</v>
      </c>
      <c r="H39" s="14">
        <v>10</v>
      </c>
      <c r="I39" s="16">
        <v>0</v>
      </c>
      <c r="J39" s="14" t="s">
        <v>17</v>
      </c>
      <c r="K39" s="17"/>
    </row>
    <row r="40" spans="1:11" x14ac:dyDescent="0.25">
      <c r="A40" s="12" t="s">
        <v>111</v>
      </c>
      <c r="B40" s="20" t="s">
        <v>99</v>
      </c>
      <c r="C40" s="14" t="s">
        <v>64</v>
      </c>
      <c r="D40" s="14" t="s">
        <v>112</v>
      </c>
      <c r="E40" s="14" t="s">
        <v>66</v>
      </c>
      <c r="F40" s="15">
        <f>DATE(2026,10,22)</f>
        <v>46317</v>
      </c>
      <c r="G40" s="15">
        <f>DATE(2026,10,28)</f>
        <v>46323</v>
      </c>
      <c r="H40" s="14">
        <v>7</v>
      </c>
      <c r="I40" s="16">
        <v>0</v>
      </c>
      <c r="J40" s="14" t="s">
        <v>17</v>
      </c>
      <c r="K40" s="17"/>
    </row>
    <row r="41" spans="1:11" x14ac:dyDescent="0.25">
      <c r="A41" s="12" t="s">
        <v>113</v>
      </c>
      <c r="B41" s="20" t="s">
        <v>99</v>
      </c>
      <c r="C41" s="14" t="s">
        <v>27</v>
      </c>
      <c r="D41" s="14" t="s">
        <v>114</v>
      </c>
      <c r="E41" s="14" t="s">
        <v>32</v>
      </c>
      <c r="F41" s="15">
        <f>DATE(2026,10,26)</f>
        <v>46321</v>
      </c>
      <c r="G41" s="15">
        <f>DATE(2026,10,29)</f>
        <v>46324</v>
      </c>
      <c r="H41" s="14">
        <v>4</v>
      </c>
      <c r="I41" s="16">
        <v>0</v>
      </c>
      <c r="J41" s="14" t="s">
        <v>17</v>
      </c>
      <c r="K41" s="17"/>
    </row>
    <row r="42" spans="1:11" x14ac:dyDescent="0.25">
      <c r="A42" s="12" t="s">
        <v>115</v>
      </c>
      <c r="B42" s="20" t="s">
        <v>99</v>
      </c>
      <c r="C42" s="14" t="s">
        <v>14</v>
      </c>
      <c r="D42" s="14" t="s">
        <v>116</v>
      </c>
      <c r="E42" s="14" t="s">
        <v>20</v>
      </c>
      <c r="F42" s="15">
        <f>DATE(2026,10,28)</f>
        <v>46323</v>
      </c>
      <c r="G42" s="15">
        <f>DATE(2026,10,29)</f>
        <v>46324</v>
      </c>
      <c r="H42" s="14">
        <v>2</v>
      </c>
      <c r="I42" s="16">
        <v>0</v>
      </c>
      <c r="J42" s="14" t="s">
        <v>17</v>
      </c>
      <c r="K42" s="17"/>
    </row>
    <row r="43" spans="1:11" x14ac:dyDescent="0.25">
      <c r="A43" s="21" t="s">
        <v>117</v>
      </c>
      <c r="B43" s="22" t="s">
        <v>99</v>
      </c>
      <c r="C43" s="23" t="s">
        <v>14</v>
      </c>
      <c r="D43" s="23" t="s">
        <v>118</v>
      </c>
      <c r="E43" s="23" t="s">
        <v>20</v>
      </c>
      <c r="F43" s="24">
        <f>DATE(2026,10,30)</f>
        <v>46325</v>
      </c>
      <c r="G43" s="24">
        <f>DATE(2026,10,30)</f>
        <v>46325</v>
      </c>
      <c r="H43" s="23">
        <v>1</v>
      </c>
      <c r="I43" s="25">
        <v>0</v>
      </c>
      <c r="J43" s="23" t="s">
        <v>17</v>
      </c>
      <c r="K43" s="26"/>
    </row>
    <row r="44" spans="1:11" x14ac:dyDescent="0.25">
      <c r="A44" s="12" t="s">
        <v>119</v>
      </c>
      <c r="B44" s="27" t="s">
        <v>120</v>
      </c>
      <c r="C44" s="14" t="s">
        <v>121</v>
      </c>
      <c r="D44" s="14" t="s">
        <v>122</v>
      </c>
      <c r="E44" s="14" t="s">
        <v>123</v>
      </c>
      <c r="F44" s="15">
        <f>DATE(2026,11,2)</f>
        <v>46328</v>
      </c>
      <c r="G44" s="15">
        <f>DATE(2026,11,27)</f>
        <v>46353</v>
      </c>
      <c r="H44" s="14">
        <v>26</v>
      </c>
      <c r="I44" s="16">
        <v>0</v>
      </c>
      <c r="J44" s="14" t="s">
        <v>17</v>
      </c>
      <c r="K44" s="17"/>
    </row>
    <row r="45" spans="1:11" x14ac:dyDescent="0.25">
      <c r="A45" s="12" t="s">
        <v>124</v>
      </c>
      <c r="B45" s="27" t="s">
        <v>120</v>
      </c>
      <c r="C45" s="14" t="s">
        <v>121</v>
      </c>
      <c r="D45" s="14" t="s">
        <v>125</v>
      </c>
      <c r="E45" s="14" t="s">
        <v>123</v>
      </c>
      <c r="F45" s="15">
        <f>DATE(2026,11,2)</f>
        <v>46328</v>
      </c>
      <c r="G45" s="15">
        <f>DATE(2026,11,27)</f>
        <v>46353</v>
      </c>
      <c r="H45" s="14">
        <v>26</v>
      </c>
      <c r="I45" s="16">
        <v>0</v>
      </c>
      <c r="J45" s="14" t="s">
        <v>17</v>
      </c>
      <c r="K45" s="17"/>
    </row>
    <row r="46" spans="1:11" x14ac:dyDescent="0.25">
      <c r="A46" s="12" t="s">
        <v>126</v>
      </c>
      <c r="B46" s="27" t="s">
        <v>120</v>
      </c>
      <c r="C46" s="14" t="s">
        <v>34</v>
      </c>
      <c r="D46" s="14" t="s">
        <v>127</v>
      </c>
      <c r="E46" s="14" t="s">
        <v>36</v>
      </c>
      <c r="F46" s="15">
        <f>DATE(2026,11,2)</f>
        <v>46328</v>
      </c>
      <c r="G46" s="15">
        <f>DATE(2026,11,27)</f>
        <v>46353</v>
      </c>
      <c r="H46" s="14">
        <v>26</v>
      </c>
      <c r="I46" s="16">
        <v>0</v>
      </c>
      <c r="J46" s="14" t="s">
        <v>17</v>
      </c>
      <c r="K46" s="17"/>
    </row>
    <row r="47" spans="1:11" x14ac:dyDescent="0.25">
      <c r="A47" s="12" t="s">
        <v>128</v>
      </c>
      <c r="B47" s="27" t="s">
        <v>120</v>
      </c>
      <c r="C47" s="14" t="s">
        <v>14</v>
      </c>
      <c r="D47" s="14" t="s">
        <v>129</v>
      </c>
      <c r="E47" s="14" t="s">
        <v>20</v>
      </c>
      <c r="F47" s="15">
        <f>DATE(2026,11,23)</f>
        <v>46349</v>
      </c>
      <c r="G47" s="15">
        <f>DATE(2026,11,25)</f>
        <v>46351</v>
      </c>
      <c r="H47" s="14">
        <v>3</v>
      </c>
      <c r="I47" s="16">
        <v>0</v>
      </c>
      <c r="J47" s="14" t="s">
        <v>17</v>
      </c>
      <c r="K47" s="17"/>
    </row>
    <row r="48" spans="1:11" x14ac:dyDescent="0.25">
      <c r="A48" s="28" t="s">
        <v>130</v>
      </c>
      <c r="B48" s="29" t="s">
        <v>120</v>
      </c>
      <c r="C48" s="30" t="s">
        <v>14</v>
      </c>
      <c r="D48" s="30" t="s">
        <v>131</v>
      </c>
      <c r="E48" s="30" t="s">
        <v>20</v>
      </c>
      <c r="F48" s="31">
        <f>DATE(2026,11,25)</f>
        <v>46351</v>
      </c>
      <c r="G48" s="31">
        <f>DATE(2026,11,27)</f>
        <v>46353</v>
      </c>
      <c r="H48" s="30">
        <v>3</v>
      </c>
      <c r="I48" s="32">
        <v>0</v>
      </c>
      <c r="J48" s="30" t="s">
        <v>17</v>
      </c>
      <c r="K48" s="33"/>
    </row>
  </sheetData>
  <mergeCells count="1">
    <mergeCell ref="A1:K1"/>
  </mergeCells>
  <conditionalFormatting sqref="J3:J48">
    <cfRule type="expression" priority="1" stopIfTrue="1">
      <formula>"Complete"</formula>
    </cfRule>
    <cfRule type="expression" priority="2" stopIfTrue="1">
      <formula>"In Progress"</formula>
    </cfRule>
    <cfRule type="expression" priority="3" stopIfTrue="1">
      <formula>"Blocked"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9C67-0722-46BD-BEA8-EFAB8B86F8C7}">
  <dimension ref="A1:AC50"/>
  <sheetViews>
    <sheetView showGridLines="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3" sqref="F3"/>
    </sheetView>
  </sheetViews>
  <sheetFormatPr defaultRowHeight="15" x14ac:dyDescent="0.25"/>
  <cols>
    <col min="1" max="1" width="8.7109375" customWidth="1"/>
    <col min="2" max="2" width="9.7109375" customWidth="1"/>
    <col min="3" max="3" width="32.7109375" customWidth="1"/>
    <col min="4" max="5" width="11.7109375" customWidth="1"/>
    <col min="6" max="29" width="6.7109375" customWidth="1"/>
  </cols>
  <sheetData>
    <row r="1" spans="1:29" ht="32.1" customHeight="1" x14ac:dyDescent="0.25">
      <c r="A1" s="3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.1" customHeight="1" x14ac:dyDescent="0.25">
      <c r="A2" s="41" t="s">
        <v>1</v>
      </c>
      <c r="B2" s="42" t="s">
        <v>2</v>
      </c>
      <c r="C2" s="42" t="s">
        <v>4</v>
      </c>
      <c r="D2" s="42" t="s">
        <v>6</v>
      </c>
      <c r="E2" s="43" t="s">
        <v>7</v>
      </c>
      <c r="F2" s="35" t="s">
        <v>132</v>
      </c>
      <c r="G2" s="35" t="s">
        <v>133</v>
      </c>
      <c r="H2" s="35" t="s">
        <v>134</v>
      </c>
      <c r="I2" s="35" t="s">
        <v>135</v>
      </c>
      <c r="J2" s="35" t="s">
        <v>136</v>
      </c>
      <c r="K2" s="35" t="s">
        <v>137</v>
      </c>
      <c r="L2" s="35" t="s">
        <v>138</v>
      </c>
      <c r="M2" s="35" t="s">
        <v>139</v>
      </c>
      <c r="N2" s="35" t="s">
        <v>140</v>
      </c>
      <c r="O2" s="35" t="s">
        <v>141</v>
      </c>
      <c r="P2" s="35" t="s">
        <v>142</v>
      </c>
      <c r="Q2" s="35" t="s">
        <v>143</v>
      </c>
      <c r="R2" s="35" t="s">
        <v>144</v>
      </c>
      <c r="S2" s="35" t="s">
        <v>145</v>
      </c>
      <c r="T2" s="35" t="s">
        <v>146</v>
      </c>
      <c r="U2" s="35" t="s">
        <v>147</v>
      </c>
      <c r="V2" s="35" t="s">
        <v>148</v>
      </c>
      <c r="W2" s="35" t="s">
        <v>149</v>
      </c>
      <c r="X2" s="35" t="s">
        <v>150</v>
      </c>
      <c r="Y2" s="35" t="s">
        <v>151</v>
      </c>
      <c r="Z2" s="35" t="s">
        <v>152</v>
      </c>
      <c r="AA2" s="35" t="s">
        <v>153</v>
      </c>
      <c r="AB2" s="35" t="s">
        <v>154</v>
      </c>
      <c r="AC2" s="35" t="s">
        <v>155</v>
      </c>
    </row>
    <row r="3" spans="1:29" x14ac:dyDescent="0.25">
      <c r="A3" s="12" t="s">
        <v>12</v>
      </c>
      <c r="B3" s="13" t="s">
        <v>13</v>
      </c>
      <c r="C3" s="14" t="s">
        <v>15</v>
      </c>
      <c r="D3" s="15">
        <f>DATE(2026,6,15)</f>
        <v>46188</v>
      </c>
      <c r="E3" s="44">
        <f>DATE(2026,6,15)</f>
        <v>46188</v>
      </c>
      <c r="F3" s="4"/>
    </row>
    <row r="4" spans="1:29" x14ac:dyDescent="0.25">
      <c r="A4" s="12" t="s">
        <v>18</v>
      </c>
      <c r="B4" s="13" t="s">
        <v>13</v>
      </c>
      <c r="C4" s="14" t="s">
        <v>19</v>
      </c>
      <c r="D4" s="15">
        <f>DATE(2026,6,15)</f>
        <v>46188</v>
      </c>
      <c r="E4" s="44">
        <f>DATE(2026,6,19)</f>
        <v>46192</v>
      </c>
      <c r="F4" s="4"/>
    </row>
    <row r="5" spans="1:29" x14ac:dyDescent="0.25">
      <c r="A5" s="12" t="s">
        <v>21</v>
      </c>
      <c r="B5" s="13" t="s">
        <v>13</v>
      </c>
      <c r="C5" s="14" t="s">
        <v>22</v>
      </c>
      <c r="D5" s="15">
        <f>DATE(2026,6,18)</f>
        <v>46191</v>
      </c>
      <c r="E5" s="44">
        <f>DATE(2026,6,22)</f>
        <v>46195</v>
      </c>
      <c r="F5" s="4"/>
      <c r="G5" s="4"/>
    </row>
    <row r="6" spans="1:29" x14ac:dyDescent="0.25">
      <c r="A6" s="12" t="s">
        <v>23</v>
      </c>
      <c r="B6" s="13" t="s">
        <v>13</v>
      </c>
      <c r="C6" s="14" t="s">
        <v>24</v>
      </c>
      <c r="D6" s="15">
        <f>DATE(2026,6,22)</f>
        <v>46195</v>
      </c>
      <c r="E6" s="44">
        <f>DATE(2026,6,26)</f>
        <v>46199</v>
      </c>
      <c r="G6" s="4"/>
    </row>
    <row r="7" spans="1:29" x14ac:dyDescent="0.25">
      <c r="A7" s="12" t="s">
        <v>26</v>
      </c>
      <c r="B7" s="13" t="s">
        <v>13</v>
      </c>
      <c r="C7" s="14" t="s">
        <v>28</v>
      </c>
      <c r="D7" s="15">
        <f>DATE(2026,6,15)</f>
        <v>46188</v>
      </c>
      <c r="E7" s="44">
        <f>DATE(2026,6,22)</f>
        <v>46195</v>
      </c>
      <c r="F7" s="4"/>
      <c r="G7" s="4"/>
    </row>
    <row r="8" spans="1:29" x14ac:dyDescent="0.25">
      <c r="A8" s="12" t="s">
        <v>30</v>
      </c>
      <c r="B8" s="13" t="s">
        <v>13</v>
      </c>
      <c r="C8" s="14" t="s">
        <v>31</v>
      </c>
      <c r="D8" s="15">
        <f>DATE(2026,6,22)</f>
        <v>46195</v>
      </c>
      <c r="E8" s="44">
        <f>DATE(2026,6,26)</f>
        <v>46199</v>
      </c>
      <c r="G8" s="4"/>
    </row>
    <row r="9" spans="1:29" x14ac:dyDescent="0.25">
      <c r="A9" s="12" t="s">
        <v>33</v>
      </c>
      <c r="B9" s="13" t="s">
        <v>13</v>
      </c>
      <c r="C9" s="14" t="s">
        <v>35</v>
      </c>
      <c r="D9" s="15">
        <f>DATE(2026,6,15)</f>
        <v>46188</v>
      </c>
      <c r="E9" s="44">
        <f>DATE(2026,6,26)</f>
        <v>46199</v>
      </c>
      <c r="F9" s="4"/>
      <c r="G9" s="4"/>
    </row>
    <row r="10" spans="1:29" x14ac:dyDescent="0.25">
      <c r="A10" s="12" t="s">
        <v>37</v>
      </c>
      <c r="B10" s="18" t="s">
        <v>38</v>
      </c>
      <c r="C10" s="14" t="s">
        <v>40</v>
      </c>
      <c r="D10" s="15">
        <f>DATE(2026,6,29)</f>
        <v>46202</v>
      </c>
      <c r="E10" s="44">
        <f>DATE(2026,7,3)</f>
        <v>46206</v>
      </c>
      <c r="H10" s="5"/>
    </row>
    <row r="11" spans="1:29" x14ac:dyDescent="0.25">
      <c r="A11" s="12" t="s">
        <v>42</v>
      </c>
      <c r="B11" s="18" t="s">
        <v>38</v>
      </c>
      <c r="C11" s="14" t="s">
        <v>43</v>
      </c>
      <c r="D11" s="15">
        <f>DATE(2026,7,6)</f>
        <v>46209</v>
      </c>
      <c r="E11" s="44">
        <f>DATE(2026,7,10)</f>
        <v>46213</v>
      </c>
      <c r="I11" s="5"/>
    </row>
    <row r="12" spans="1:29" x14ac:dyDescent="0.25">
      <c r="A12" s="12" t="s">
        <v>44</v>
      </c>
      <c r="B12" s="18" t="s">
        <v>38</v>
      </c>
      <c r="C12" s="14" t="s">
        <v>45</v>
      </c>
      <c r="D12" s="15">
        <f>DATE(2026,7,7)</f>
        <v>46210</v>
      </c>
      <c r="E12" s="44">
        <f>DATE(2026,7,14)</f>
        <v>46217</v>
      </c>
      <c r="I12" s="5"/>
      <c r="J12" s="5"/>
    </row>
    <row r="13" spans="1:29" x14ac:dyDescent="0.25">
      <c r="A13" s="12" t="s">
        <v>46</v>
      </c>
      <c r="B13" s="18" t="s">
        <v>38</v>
      </c>
      <c r="C13" s="14" t="s">
        <v>47</v>
      </c>
      <c r="D13" s="15">
        <f>DATE(2026,7,13)</f>
        <v>46216</v>
      </c>
      <c r="E13" s="44">
        <f>DATE(2026,7,17)</f>
        <v>46220</v>
      </c>
      <c r="J13" s="5"/>
    </row>
    <row r="14" spans="1:29" x14ac:dyDescent="0.25">
      <c r="A14" s="12" t="s">
        <v>48</v>
      </c>
      <c r="B14" s="18" t="s">
        <v>38</v>
      </c>
      <c r="C14" s="14" t="s">
        <v>50</v>
      </c>
      <c r="D14" s="15">
        <f>DATE(2026,6,29)</f>
        <v>46202</v>
      </c>
      <c r="E14" s="44">
        <f>DATE(2026,7,3)</f>
        <v>46206</v>
      </c>
      <c r="H14" s="5"/>
    </row>
    <row r="15" spans="1:29" x14ac:dyDescent="0.25">
      <c r="A15" s="12" t="s">
        <v>52</v>
      </c>
      <c r="B15" s="18" t="s">
        <v>38</v>
      </c>
      <c r="C15" s="14" t="s">
        <v>53</v>
      </c>
      <c r="D15" s="15">
        <f>DATE(2026,7,6)</f>
        <v>46209</v>
      </c>
      <c r="E15" s="44">
        <f>DATE(2026,7,10)</f>
        <v>46213</v>
      </c>
      <c r="I15" s="5"/>
    </row>
    <row r="16" spans="1:29" x14ac:dyDescent="0.25">
      <c r="A16" s="12" t="s">
        <v>54</v>
      </c>
      <c r="B16" s="18" t="s">
        <v>38</v>
      </c>
      <c r="C16" s="14" t="s">
        <v>55</v>
      </c>
      <c r="D16" s="15">
        <f>DATE(2026,7,13)</f>
        <v>46216</v>
      </c>
      <c r="E16" s="44">
        <f>DATE(2026,7,17)</f>
        <v>46220</v>
      </c>
      <c r="J16" s="5"/>
    </row>
    <row r="17" spans="1:19" x14ac:dyDescent="0.25">
      <c r="A17" s="12" t="s">
        <v>56</v>
      </c>
      <c r="B17" s="18" t="s">
        <v>38</v>
      </c>
      <c r="C17" s="14" t="s">
        <v>57</v>
      </c>
      <c r="D17" s="15">
        <f>DATE(2026,7,20)</f>
        <v>46223</v>
      </c>
      <c r="E17" s="44">
        <f>DATE(2026,7,24)</f>
        <v>46227</v>
      </c>
      <c r="K17" s="5"/>
    </row>
    <row r="18" spans="1:19" x14ac:dyDescent="0.25">
      <c r="A18" s="12" t="s">
        <v>58</v>
      </c>
      <c r="B18" s="18" t="s">
        <v>38</v>
      </c>
      <c r="C18" s="14" t="s">
        <v>59</v>
      </c>
      <c r="D18" s="15">
        <f>DATE(2026,6,29)</f>
        <v>46202</v>
      </c>
      <c r="E18" s="44">
        <f>DATE(2026,7,17)</f>
        <v>46220</v>
      </c>
      <c r="H18" s="5"/>
      <c r="I18" s="5"/>
      <c r="J18" s="5"/>
    </row>
    <row r="19" spans="1:19" x14ac:dyDescent="0.25">
      <c r="A19" s="12" t="s">
        <v>60</v>
      </c>
      <c r="B19" s="18" t="s">
        <v>38</v>
      </c>
      <c r="C19" s="14" t="s">
        <v>61</v>
      </c>
      <c r="D19" s="15">
        <f>DATE(2026,7,14)</f>
        <v>46217</v>
      </c>
      <c r="E19" s="44">
        <f>DATE(2026,7,17)</f>
        <v>46220</v>
      </c>
      <c r="J19" s="5"/>
    </row>
    <row r="20" spans="1:19" x14ac:dyDescent="0.25">
      <c r="A20" s="12" t="s">
        <v>63</v>
      </c>
      <c r="B20" s="18" t="s">
        <v>38</v>
      </c>
      <c r="C20" s="14" t="s">
        <v>65</v>
      </c>
      <c r="D20" s="15">
        <f>DATE(2026,6,29)</f>
        <v>46202</v>
      </c>
      <c r="E20" s="44">
        <f>DATE(2026,7,24)</f>
        <v>46227</v>
      </c>
      <c r="H20" s="5"/>
      <c r="I20" s="5"/>
      <c r="J20" s="5"/>
      <c r="K20" s="5"/>
    </row>
    <row r="21" spans="1:19" x14ac:dyDescent="0.25">
      <c r="A21" s="12" t="s">
        <v>67</v>
      </c>
      <c r="B21" s="18" t="s">
        <v>38</v>
      </c>
      <c r="C21" s="14" t="s">
        <v>68</v>
      </c>
      <c r="D21" s="15">
        <f>DATE(2026,7,27)</f>
        <v>46230</v>
      </c>
      <c r="E21" s="44">
        <f>DATE(2026,7,31)</f>
        <v>46234</v>
      </c>
      <c r="L21" s="5"/>
    </row>
    <row r="22" spans="1:19" x14ac:dyDescent="0.25">
      <c r="A22" s="12" t="s">
        <v>69</v>
      </c>
      <c r="B22" s="19" t="s">
        <v>70</v>
      </c>
      <c r="C22" s="14" t="s">
        <v>71</v>
      </c>
      <c r="D22" s="15">
        <f>DATE(2026,8,3)</f>
        <v>46237</v>
      </c>
      <c r="E22" s="44">
        <f>DATE(2026,8,14)</f>
        <v>46248</v>
      </c>
      <c r="M22" s="6"/>
      <c r="N22" s="6"/>
    </row>
    <row r="23" spans="1:19" x14ac:dyDescent="0.25">
      <c r="A23" s="12" t="s">
        <v>72</v>
      </c>
      <c r="B23" s="19" t="s">
        <v>70</v>
      </c>
      <c r="C23" s="14" t="s">
        <v>73</v>
      </c>
      <c r="D23" s="15">
        <f>DATE(2026,8,17)</f>
        <v>46251</v>
      </c>
      <c r="E23" s="44">
        <f>DATE(2026,8,21)</f>
        <v>46255</v>
      </c>
      <c r="O23" s="6"/>
    </row>
    <row r="24" spans="1:19" x14ac:dyDescent="0.25">
      <c r="A24" s="12" t="s">
        <v>74</v>
      </c>
      <c r="B24" s="19" t="s">
        <v>70</v>
      </c>
      <c r="C24" s="14" t="s">
        <v>75</v>
      </c>
      <c r="D24" s="15">
        <f>DATE(2026,8,24)</f>
        <v>46258</v>
      </c>
      <c r="E24" s="44">
        <f>DATE(2026,8,28)</f>
        <v>46262</v>
      </c>
      <c r="P24" s="6"/>
    </row>
    <row r="25" spans="1:19" x14ac:dyDescent="0.25">
      <c r="A25" s="12" t="s">
        <v>76</v>
      </c>
      <c r="B25" s="19" t="s">
        <v>70</v>
      </c>
      <c r="C25" s="14" t="s">
        <v>77</v>
      </c>
      <c r="D25" s="15">
        <f>DATE(2026,8,3)</f>
        <v>46237</v>
      </c>
      <c r="E25" s="44">
        <f>DATE(2026,8,14)</f>
        <v>46248</v>
      </c>
      <c r="M25" s="6"/>
      <c r="N25" s="6"/>
    </row>
    <row r="26" spans="1:19" x14ac:dyDescent="0.25">
      <c r="A26" s="12" t="s">
        <v>78</v>
      </c>
      <c r="B26" s="19" t="s">
        <v>70</v>
      </c>
      <c r="C26" s="14" t="s">
        <v>79</v>
      </c>
      <c r="D26" s="15">
        <f>DATE(2026,8,17)</f>
        <v>46251</v>
      </c>
      <c r="E26" s="44">
        <f>DATE(2026,8,21)</f>
        <v>46255</v>
      </c>
      <c r="O26" s="6"/>
    </row>
    <row r="27" spans="1:19" x14ac:dyDescent="0.25">
      <c r="A27" s="12" t="s">
        <v>80</v>
      </c>
      <c r="B27" s="19" t="s">
        <v>70</v>
      </c>
      <c r="C27" s="14" t="s">
        <v>81</v>
      </c>
      <c r="D27" s="15">
        <f>DATE(2026,8,24)</f>
        <v>46258</v>
      </c>
      <c r="E27" s="44">
        <f>DATE(2026,8,28)</f>
        <v>46262</v>
      </c>
      <c r="P27" s="6"/>
    </row>
    <row r="28" spans="1:19" x14ac:dyDescent="0.25">
      <c r="A28" s="12" t="s">
        <v>82</v>
      </c>
      <c r="B28" s="19" t="s">
        <v>70</v>
      </c>
      <c r="C28" s="14" t="s">
        <v>83</v>
      </c>
      <c r="D28" s="15">
        <f>DATE(2026,8,31)</f>
        <v>46265</v>
      </c>
      <c r="E28" s="44">
        <f>DATE(2026,9,4)</f>
        <v>46269</v>
      </c>
      <c r="Q28" s="6"/>
    </row>
    <row r="29" spans="1:19" x14ac:dyDescent="0.25">
      <c r="A29" s="12" t="s">
        <v>84</v>
      </c>
      <c r="B29" s="19" t="s">
        <v>70</v>
      </c>
      <c r="C29" s="14" t="s">
        <v>85</v>
      </c>
      <c r="D29" s="15">
        <f>DATE(2026,8,3)</f>
        <v>46237</v>
      </c>
      <c r="E29" s="44">
        <f>DATE(2026,9,11)</f>
        <v>46276</v>
      </c>
      <c r="M29" s="6"/>
      <c r="N29" s="6"/>
      <c r="O29" s="6"/>
      <c r="P29" s="6"/>
      <c r="Q29" s="6"/>
      <c r="R29" s="6"/>
    </row>
    <row r="30" spans="1:19" x14ac:dyDescent="0.25">
      <c r="A30" s="12" t="s">
        <v>86</v>
      </c>
      <c r="B30" s="19" t="s">
        <v>70</v>
      </c>
      <c r="C30" s="14" t="s">
        <v>87</v>
      </c>
      <c r="D30" s="15">
        <f>DATE(2026,8,17)</f>
        <v>46251</v>
      </c>
      <c r="E30" s="44">
        <f>DATE(2026,8,21)</f>
        <v>46255</v>
      </c>
      <c r="O30" s="6"/>
    </row>
    <row r="31" spans="1:19" x14ac:dyDescent="0.25">
      <c r="A31" s="12" t="s">
        <v>88</v>
      </c>
      <c r="B31" s="19" t="s">
        <v>70</v>
      </c>
      <c r="C31" s="14" t="s">
        <v>89</v>
      </c>
      <c r="D31" s="15">
        <f>DATE(2026,8,3)</f>
        <v>46237</v>
      </c>
      <c r="E31" s="44">
        <f>DATE(2026,9,4)</f>
        <v>46269</v>
      </c>
      <c r="M31" s="6"/>
      <c r="N31" s="6"/>
      <c r="O31" s="6"/>
      <c r="P31" s="6"/>
      <c r="Q31" s="6"/>
    </row>
    <row r="32" spans="1:19" x14ac:dyDescent="0.25">
      <c r="A32" s="12" t="s">
        <v>90</v>
      </c>
      <c r="B32" s="19" t="s">
        <v>70</v>
      </c>
      <c r="C32" s="14" t="s">
        <v>92</v>
      </c>
      <c r="D32" s="15">
        <f>DATE(2026,9,7)</f>
        <v>46272</v>
      </c>
      <c r="E32" s="44">
        <f>DATE(2026,9,18)</f>
        <v>46283</v>
      </c>
      <c r="R32" s="6"/>
      <c r="S32" s="6"/>
    </row>
    <row r="33" spans="1:29" x14ac:dyDescent="0.25">
      <c r="A33" s="12" t="s">
        <v>94</v>
      </c>
      <c r="B33" s="19" t="s">
        <v>70</v>
      </c>
      <c r="C33" s="14" t="s">
        <v>95</v>
      </c>
      <c r="D33" s="15">
        <f>DATE(2026,9,21)</f>
        <v>46286</v>
      </c>
      <c r="E33" s="44">
        <f>DATE(2026,10,2)</f>
        <v>46297</v>
      </c>
      <c r="T33" s="6"/>
      <c r="U33" s="6"/>
    </row>
    <row r="34" spans="1:29" x14ac:dyDescent="0.25">
      <c r="A34" s="12" t="s">
        <v>96</v>
      </c>
      <c r="B34" s="19" t="s">
        <v>70</v>
      </c>
      <c r="C34" s="14" t="s">
        <v>97</v>
      </c>
      <c r="D34" s="15">
        <f>DATE(2026,8,3)</f>
        <v>46237</v>
      </c>
      <c r="E34" s="44">
        <f>DATE(2026,9,4)</f>
        <v>46269</v>
      </c>
      <c r="M34" s="6"/>
      <c r="N34" s="6"/>
      <c r="O34" s="6"/>
      <c r="P34" s="6"/>
      <c r="Q34" s="6"/>
    </row>
    <row r="35" spans="1:29" x14ac:dyDescent="0.25">
      <c r="A35" s="12" t="s">
        <v>98</v>
      </c>
      <c r="B35" s="20" t="s">
        <v>99</v>
      </c>
      <c r="C35" s="14" t="s">
        <v>100</v>
      </c>
      <c r="D35" s="15">
        <f>DATE(2026,10,5)</f>
        <v>46300</v>
      </c>
      <c r="E35" s="44">
        <f>DATE(2026,10,7)</f>
        <v>46302</v>
      </c>
      <c r="V35" s="7"/>
    </row>
    <row r="36" spans="1:29" x14ac:dyDescent="0.25">
      <c r="A36" s="12" t="s">
        <v>101</v>
      </c>
      <c r="B36" s="20" t="s">
        <v>99</v>
      </c>
      <c r="C36" s="14" t="s">
        <v>102</v>
      </c>
      <c r="D36" s="15">
        <f>DATE(2026,10,8)</f>
        <v>46303</v>
      </c>
      <c r="E36" s="44">
        <f>DATE(2026,10,17)</f>
        <v>46312</v>
      </c>
      <c r="V36" s="7"/>
      <c r="W36" s="7"/>
    </row>
    <row r="37" spans="1:29" x14ac:dyDescent="0.25">
      <c r="A37" s="12" t="s">
        <v>104</v>
      </c>
      <c r="B37" s="20" t="s">
        <v>99</v>
      </c>
      <c r="C37" s="14" t="s">
        <v>105</v>
      </c>
      <c r="D37" s="15">
        <f>DATE(2026,10,22)</f>
        <v>46317</v>
      </c>
      <c r="E37" s="44">
        <f>DATE(2026,10,23)</f>
        <v>46318</v>
      </c>
      <c r="X37" s="7"/>
    </row>
    <row r="38" spans="1:29" x14ac:dyDescent="0.25">
      <c r="A38" s="12" t="s">
        <v>107</v>
      </c>
      <c r="B38" s="20" t="s">
        <v>99</v>
      </c>
      <c r="C38" s="14" t="s">
        <v>108</v>
      </c>
      <c r="D38" s="15">
        <f>DATE(2026,10,7)</f>
        <v>46302</v>
      </c>
      <c r="E38" s="44">
        <f>DATE(2026,10,16)</f>
        <v>46311</v>
      </c>
      <c r="V38" s="7"/>
      <c r="W38" s="7"/>
    </row>
    <row r="39" spans="1:29" x14ac:dyDescent="0.25">
      <c r="A39" s="12" t="s">
        <v>109</v>
      </c>
      <c r="B39" s="20" t="s">
        <v>99</v>
      </c>
      <c r="C39" s="14" t="s">
        <v>110</v>
      </c>
      <c r="D39" s="15">
        <f>DATE(2026,10,7)</f>
        <v>46302</v>
      </c>
      <c r="E39" s="44">
        <f>DATE(2026,10,16)</f>
        <v>46311</v>
      </c>
      <c r="V39" s="7"/>
      <c r="W39" s="7"/>
    </row>
    <row r="40" spans="1:29" x14ac:dyDescent="0.25">
      <c r="A40" s="12" t="s">
        <v>111</v>
      </c>
      <c r="B40" s="20" t="s">
        <v>99</v>
      </c>
      <c r="C40" s="14" t="s">
        <v>112</v>
      </c>
      <c r="D40" s="15">
        <f>DATE(2026,10,22)</f>
        <v>46317</v>
      </c>
      <c r="E40" s="44">
        <f>DATE(2026,10,28)</f>
        <v>46323</v>
      </c>
      <c r="X40" s="7"/>
      <c r="Y40" s="7"/>
    </row>
    <row r="41" spans="1:29" x14ac:dyDescent="0.25">
      <c r="A41" s="12" t="s">
        <v>113</v>
      </c>
      <c r="B41" s="20" t="s">
        <v>99</v>
      </c>
      <c r="C41" s="14" t="s">
        <v>114</v>
      </c>
      <c r="D41" s="15">
        <f>DATE(2026,10,26)</f>
        <v>46321</v>
      </c>
      <c r="E41" s="44">
        <f>DATE(2026,10,29)</f>
        <v>46324</v>
      </c>
      <c r="Y41" s="7"/>
    </row>
    <row r="42" spans="1:29" x14ac:dyDescent="0.25">
      <c r="A42" s="12" t="s">
        <v>115</v>
      </c>
      <c r="B42" s="20" t="s">
        <v>99</v>
      </c>
      <c r="C42" s="14" t="s">
        <v>116</v>
      </c>
      <c r="D42" s="15">
        <f>DATE(2026,10,28)</f>
        <v>46323</v>
      </c>
      <c r="E42" s="44">
        <f>DATE(2026,10,29)</f>
        <v>46324</v>
      </c>
      <c r="Y42" s="7"/>
    </row>
    <row r="43" spans="1:29" x14ac:dyDescent="0.25">
      <c r="A43" s="12" t="s">
        <v>117</v>
      </c>
      <c r="B43" s="20" t="s">
        <v>99</v>
      </c>
      <c r="C43" s="14" t="s">
        <v>118</v>
      </c>
      <c r="D43" s="15">
        <f>DATE(2026,10,30)</f>
        <v>46325</v>
      </c>
      <c r="E43" s="44">
        <f>DATE(2026,10,30)</f>
        <v>46325</v>
      </c>
      <c r="Y43" s="7"/>
    </row>
    <row r="44" spans="1:29" x14ac:dyDescent="0.25">
      <c r="A44" s="12" t="s">
        <v>119</v>
      </c>
      <c r="B44" s="27" t="s">
        <v>120</v>
      </c>
      <c r="C44" s="14" t="s">
        <v>122</v>
      </c>
      <c r="D44" s="15">
        <f>DATE(2026,11,2)</f>
        <v>46328</v>
      </c>
      <c r="E44" s="44">
        <f>DATE(2026,11,27)</f>
        <v>46353</v>
      </c>
      <c r="Z44" s="8"/>
      <c r="AA44" s="8"/>
      <c r="AB44" s="8"/>
      <c r="AC44" s="8"/>
    </row>
    <row r="45" spans="1:29" x14ac:dyDescent="0.25">
      <c r="A45" s="12" t="s">
        <v>124</v>
      </c>
      <c r="B45" s="27" t="s">
        <v>120</v>
      </c>
      <c r="C45" s="14" t="s">
        <v>125</v>
      </c>
      <c r="D45" s="15">
        <f>DATE(2026,11,2)</f>
        <v>46328</v>
      </c>
      <c r="E45" s="44">
        <f>DATE(2026,11,27)</f>
        <v>46353</v>
      </c>
      <c r="Z45" s="8"/>
      <c r="AA45" s="8"/>
      <c r="AB45" s="8"/>
      <c r="AC45" s="8"/>
    </row>
    <row r="46" spans="1:29" x14ac:dyDescent="0.25">
      <c r="A46" s="12" t="s">
        <v>126</v>
      </c>
      <c r="B46" s="27" t="s">
        <v>120</v>
      </c>
      <c r="C46" s="14" t="s">
        <v>127</v>
      </c>
      <c r="D46" s="15">
        <f>DATE(2026,11,2)</f>
        <v>46328</v>
      </c>
      <c r="E46" s="44">
        <f>DATE(2026,11,27)</f>
        <v>46353</v>
      </c>
      <c r="Z46" s="8"/>
      <c r="AA46" s="8"/>
      <c r="AB46" s="8"/>
      <c r="AC46" s="8"/>
    </row>
    <row r="47" spans="1:29" x14ac:dyDescent="0.25">
      <c r="A47" s="12" t="s">
        <v>128</v>
      </c>
      <c r="B47" s="27" t="s">
        <v>120</v>
      </c>
      <c r="C47" s="14" t="s">
        <v>129</v>
      </c>
      <c r="D47" s="15">
        <f>DATE(2026,11,23)</f>
        <v>46349</v>
      </c>
      <c r="E47" s="44">
        <f>DATE(2026,11,25)</f>
        <v>46351</v>
      </c>
      <c r="AC47" s="8"/>
    </row>
    <row r="48" spans="1:29" x14ac:dyDescent="0.25">
      <c r="A48" s="28" t="s">
        <v>130</v>
      </c>
      <c r="B48" s="29" t="s">
        <v>120</v>
      </c>
      <c r="C48" s="30" t="s">
        <v>131</v>
      </c>
      <c r="D48" s="31">
        <f>DATE(2026,11,25)</f>
        <v>46351</v>
      </c>
      <c r="E48" s="45">
        <f>DATE(2026,11,27)</f>
        <v>46353</v>
      </c>
      <c r="AC48" s="8"/>
    </row>
    <row r="50" spans="1:6" x14ac:dyDescent="0.25">
      <c r="A50" s="3" t="s">
        <v>156</v>
      </c>
      <c r="B50" s="36" t="s">
        <v>13</v>
      </c>
      <c r="C50" s="37" t="s">
        <v>38</v>
      </c>
      <c r="D50" s="38" t="s">
        <v>70</v>
      </c>
      <c r="E50" s="39" t="s">
        <v>99</v>
      </c>
      <c r="F50" s="40" t="s">
        <v>120</v>
      </c>
    </row>
  </sheetData>
  <mergeCells count="1">
    <mergeCell ref="A1:A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8A84D-BA6B-469A-9161-B1F1ADAB3362}">
  <dimension ref="A1:N16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32.7109375" customWidth="1"/>
    <col min="2" max="14" width="12.7109375" customWidth="1"/>
  </cols>
  <sheetData>
    <row r="1" spans="1:14" ht="32.1" customHeight="1" x14ac:dyDescent="0.25">
      <c r="A1" s="3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0.100000000000001" customHeight="1" x14ac:dyDescent="0.25">
      <c r="A2" s="46" t="s">
        <v>157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50.1" customHeight="1" x14ac:dyDescent="0.25">
      <c r="A3" s="41" t="s">
        <v>3</v>
      </c>
      <c r="B3" s="47" t="s">
        <v>158</v>
      </c>
      <c r="C3" s="47" t="s">
        <v>159</v>
      </c>
      <c r="D3" s="47" t="s">
        <v>160</v>
      </c>
      <c r="E3" s="47" t="s">
        <v>161</v>
      </c>
      <c r="F3" s="47" t="s">
        <v>162</v>
      </c>
      <c r="G3" s="47" t="s">
        <v>163</v>
      </c>
      <c r="H3" s="47" t="s">
        <v>164</v>
      </c>
      <c r="I3" s="47" t="s">
        <v>165</v>
      </c>
      <c r="J3" s="47" t="s">
        <v>166</v>
      </c>
      <c r="K3" s="47" t="s">
        <v>167</v>
      </c>
      <c r="L3" s="47" t="s">
        <v>168</v>
      </c>
      <c r="M3" s="47" t="s">
        <v>169</v>
      </c>
      <c r="N3" s="48" t="s">
        <v>170</v>
      </c>
    </row>
    <row r="4" spans="1:14" x14ac:dyDescent="0.25">
      <c r="A4" s="21" t="s">
        <v>171</v>
      </c>
      <c r="B4" s="49" t="s">
        <v>172</v>
      </c>
      <c r="C4" s="49" t="s">
        <v>173</v>
      </c>
      <c r="D4" s="50" t="s">
        <v>174</v>
      </c>
      <c r="E4" s="50" t="s">
        <v>175</v>
      </c>
      <c r="F4" s="50" t="s">
        <v>175</v>
      </c>
      <c r="G4" s="50" t="s">
        <v>175</v>
      </c>
      <c r="H4" s="50" t="s">
        <v>175</v>
      </c>
      <c r="I4" s="50" t="s">
        <v>175</v>
      </c>
      <c r="J4" s="50" t="s">
        <v>175</v>
      </c>
      <c r="K4" s="50" t="s">
        <v>175</v>
      </c>
      <c r="L4" s="50" t="s">
        <v>175</v>
      </c>
      <c r="M4" s="50" t="s">
        <v>175</v>
      </c>
      <c r="N4" s="51" t="s">
        <v>175</v>
      </c>
    </row>
    <row r="5" spans="1:14" x14ac:dyDescent="0.25">
      <c r="A5" s="21" t="s">
        <v>176</v>
      </c>
      <c r="B5" s="50" t="s">
        <v>175</v>
      </c>
      <c r="C5" s="49" t="s">
        <v>172</v>
      </c>
      <c r="D5" s="50" t="s">
        <v>175</v>
      </c>
      <c r="E5" s="49" t="s">
        <v>173</v>
      </c>
      <c r="F5" s="50" t="s">
        <v>175</v>
      </c>
      <c r="G5" s="50" t="s">
        <v>174</v>
      </c>
      <c r="H5" s="50" t="s">
        <v>174</v>
      </c>
      <c r="I5" s="50" t="s">
        <v>175</v>
      </c>
      <c r="J5" s="50" t="s">
        <v>175</v>
      </c>
      <c r="K5" s="50" t="s">
        <v>174</v>
      </c>
      <c r="L5" s="50" t="s">
        <v>175</v>
      </c>
      <c r="M5" s="50" t="s">
        <v>174</v>
      </c>
      <c r="N5" s="51" t="s">
        <v>175</v>
      </c>
    </row>
    <row r="6" spans="1:14" x14ac:dyDescent="0.25">
      <c r="A6" s="21" t="s">
        <v>177</v>
      </c>
      <c r="B6" s="50" t="s">
        <v>175</v>
      </c>
      <c r="C6" s="49" t="s">
        <v>172</v>
      </c>
      <c r="D6" s="50" t="s">
        <v>175</v>
      </c>
      <c r="E6" s="49" t="s">
        <v>173</v>
      </c>
      <c r="F6" s="50" t="s">
        <v>175</v>
      </c>
      <c r="G6" s="50" t="s">
        <v>174</v>
      </c>
      <c r="H6" s="50" t="s">
        <v>175</v>
      </c>
      <c r="I6" s="50" t="s">
        <v>175</v>
      </c>
      <c r="J6" s="50" t="s">
        <v>175</v>
      </c>
      <c r="K6" s="50" t="s">
        <v>175</v>
      </c>
      <c r="L6" s="50" t="s">
        <v>175</v>
      </c>
      <c r="M6" s="50" t="s">
        <v>174</v>
      </c>
      <c r="N6" s="51" t="s">
        <v>175</v>
      </c>
    </row>
    <row r="7" spans="1:14" x14ac:dyDescent="0.25">
      <c r="A7" s="21" t="s">
        <v>178</v>
      </c>
      <c r="B7" s="50" t="s">
        <v>175</v>
      </c>
      <c r="C7" s="49" t="s">
        <v>172</v>
      </c>
      <c r="D7" s="50" t="s">
        <v>175</v>
      </c>
      <c r="E7" s="50" t="s">
        <v>175</v>
      </c>
      <c r="F7" s="49" t="s">
        <v>173</v>
      </c>
      <c r="G7" s="50" t="s">
        <v>174</v>
      </c>
      <c r="H7" s="50" t="s">
        <v>175</v>
      </c>
      <c r="I7" s="50" t="s">
        <v>175</v>
      </c>
      <c r="J7" s="50" t="s">
        <v>175</v>
      </c>
      <c r="K7" s="50" t="s">
        <v>174</v>
      </c>
      <c r="L7" s="50" t="s">
        <v>175</v>
      </c>
      <c r="M7" s="50" t="s">
        <v>174</v>
      </c>
      <c r="N7" s="51" t="s">
        <v>175</v>
      </c>
    </row>
    <row r="8" spans="1:14" x14ac:dyDescent="0.25">
      <c r="A8" s="21" t="s">
        <v>179</v>
      </c>
      <c r="B8" s="50" t="s">
        <v>175</v>
      </c>
      <c r="C8" s="49" t="s">
        <v>172</v>
      </c>
      <c r="D8" s="50" t="s">
        <v>175</v>
      </c>
      <c r="E8" s="50" t="s">
        <v>175</v>
      </c>
      <c r="F8" s="49" t="s">
        <v>173</v>
      </c>
      <c r="G8" s="50" t="s">
        <v>174</v>
      </c>
      <c r="H8" s="50" t="s">
        <v>175</v>
      </c>
      <c r="I8" s="50" t="s">
        <v>175</v>
      </c>
      <c r="J8" s="50" t="s">
        <v>175</v>
      </c>
      <c r="K8" s="50" t="s">
        <v>175</v>
      </c>
      <c r="L8" s="50" t="s">
        <v>175</v>
      </c>
      <c r="M8" s="50" t="s">
        <v>174</v>
      </c>
      <c r="N8" s="51" t="s">
        <v>175</v>
      </c>
    </row>
    <row r="9" spans="1:14" x14ac:dyDescent="0.25">
      <c r="A9" s="21" t="s">
        <v>180</v>
      </c>
      <c r="B9" s="50" t="s">
        <v>175</v>
      </c>
      <c r="C9" s="49" t="s">
        <v>172</v>
      </c>
      <c r="D9" s="50" t="s">
        <v>175</v>
      </c>
      <c r="E9" s="50" t="s">
        <v>174</v>
      </c>
      <c r="F9" s="50" t="s">
        <v>174</v>
      </c>
      <c r="G9" s="49" t="s">
        <v>173</v>
      </c>
      <c r="H9" s="50" t="s">
        <v>174</v>
      </c>
      <c r="I9" s="50" t="s">
        <v>174</v>
      </c>
      <c r="J9" s="50" t="s">
        <v>175</v>
      </c>
      <c r="K9" s="50" t="s">
        <v>175</v>
      </c>
      <c r="L9" s="50" t="s">
        <v>175</v>
      </c>
      <c r="M9" s="50" t="s">
        <v>174</v>
      </c>
      <c r="N9" s="51" t="s">
        <v>175</v>
      </c>
    </row>
    <row r="10" spans="1:14" x14ac:dyDescent="0.25">
      <c r="A10" s="21" t="s">
        <v>181</v>
      </c>
      <c r="B10" s="50" t="s">
        <v>175</v>
      </c>
      <c r="C10" s="49" t="s">
        <v>172</v>
      </c>
      <c r="D10" s="50" t="s">
        <v>175</v>
      </c>
      <c r="E10" s="50" t="s">
        <v>174</v>
      </c>
      <c r="F10" s="50" t="s">
        <v>174</v>
      </c>
      <c r="G10" s="50" t="s">
        <v>174</v>
      </c>
      <c r="H10" s="49" t="s">
        <v>173</v>
      </c>
      <c r="I10" s="50" t="s">
        <v>175</v>
      </c>
      <c r="J10" s="50" t="s">
        <v>175</v>
      </c>
      <c r="K10" s="50" t="s">
        <v>175</v>
      </c>
      <c r="L10" s="50" t="s">
        <v>175</v>
      </c>
      <c r="M10" s="50" t="s">
        <v>175</v>
      </c>
      <c r="N10" s="51" t="s">
        <v>175</v>
      </c>
    </row>
    <row r="11" spans="1:14" x14ac:dyDescent="0.25">
      <c r="A11" s="21" t="s">
        <v>182</v>
      </c>
      <c r="B11" s="50" t="s">
        <v>175</v>
      </c>
      <c r="C11" s="49" t="s">
        <v>172</v>
      </c>
      <c r="D11" s="50" t="s">
        <v>175</v>
      </c>
      <c r="E11" s="50" t="s">
        <v>175</v>
      </c>
      <c r="F11" s="50" t="s">
        <v>175</v>
      </c>
      <c r="G11" s="50" t="s">
        <v>174</v>
      </c>
      <c r="H11" s="50" t="s">
        <v>175</v>
      </c>
      <c r="I11" s="49" t="s">
        <v>173</v>
      </c>
      <c r="J11" s="50" t="s">
        <v>175</v>
      </c>
      <c r="K11" s="50" t="s">
        <v>175</v>
      </c>
      <c r="L11" s="50" t="s">
        <v>175</v>
      </c>
      <c r="M11" s="50" t="s">
        <v>174</v>
      </c>
      <c r="N11" s="51" t="s">
        <v>175</v>
      </c>
    </row>
    <row r="12" spans="1:14" x14ac:dyDescent="0.25">
      <c r="A12" s="21" t="s">
        <v>183</v>
      </c>
      <c r="B12" s="50" t="s">
        <v>175</v>
      </c>
      <c r="C12" s="49" t="s">
        <v>172</v>
      </c>
      <c r="D12" s="50" t="s">
        <v>175</v>
      </c>
      <c r="E12" s="50" t="s">
        <v>174</v>
      </c>
      <c r="F12" s="50" t="s">
        <v>174</v>
      </c>
      <c r="G12" s="50" t="s">
        <v>174</v>
      </c>
      <c r="H12" s="50" t="s">
        <v>175</v>
      </c>
      <c r="I12" s="50" t="s">
        <v>175</v>
      </c>
      <c r="J12" s="49" t="s">
        <v>173</v>
      </c>
      <c r="K12" s="50" t="s">
        <v>175</v>
      </c>
      <c r="L12" s="50" t="s">
        <v>175</v>
      </c>
      <c r="M12" s="50" t="s">
        <v>175</v>
      </c>
      <c r="N12" s="51" t="s">
        <v>175</v>
      </c>
    </row>
    <row r="13" spans="1:14" x14ac:dyDescent="0.25">
      <c r="A13" s="21" t="s">
        <v>184</v>
      </c>
      <c r="B13" s="49" t="s">
        <v>172</v>
      </c>
      <c r="C13" s="50" t="s">
        <v>174</v>
      </c>
      <c r="D13" s="50" t="s">
        <v>175</v>
      </c>
      <c r="E13" s="50" t="s">
        <v>174</v>
      </c>
      <c r="F13" s="50" t="s">
        <v>174</v>
      </c>
      <c r="G13" s="50" t="s">
        <v>175</v>
      </c>
      <c r="H13" s="50" t="s">
        <v>175</v>
      </c>
      <c r="I13" s="50" t="s">
        <v>175</v>
      </c>
      <c r="J13" s="50" t="s">
        <v>174</v>
      </c>
      <c r="K13" s="50" t="s">
        <v>174</v>
      </c>
      <c r="L13" s="50" t="s">
        <v>175</v>
      </c>
      <c r="M13" s="50" t="s">
        <v>175</v>
      </c>
      <c r="N13" s="52" t="s">
        <v>173</v>
      </c>
    </row>
    <row r="14" spans="1:14" x14ac:dyDescent="0.25">
      <c r="A14" s="21" t="s">
        <v>185</v>
      </c>
      <c r="B14" s="50" t="s">
        <v>175</v>
      </c>
      <c r="C14" s="49" t="s">
        <v>172</v>
      </c>
      <c r="D14" s="50" t="s">
        <v>175</v>
      </c>
      <c r="E14" s="50" t="s">
        <v>174</v>
      </c>
      <c r="F14" s="50" t="s">
        <v>174</v>
      </c>
      <c r="G14" s="50" t="s">
        <v>175</v>
      </c>
      <c r="H14" s="50" t="s">
        <v>175</v>
      </c>
      <c r="I14" s="50" t="s">
        <v>175</v>
      </c>
      <c r="J14" s="50" t="s">
        <v>175</v>
      </c>
      <c r="K14" s="49" t="s">
        <v>173</v>
      </c>
      <c r="L14" s="50" t="s">
        <v>175</v>
      </c>
      <c r="M14" s="50" t="s">
        <v>175</v>
      </c>
      <c r="N14" s="51" t="s">
        <v>175</v>
      </c>
    </row>
    <row r="15" spans="1:14" x14ac:dyDescent="0.25">
      <c r="A15" s="21" t="s">
        <v>186</v>
      </c>
      <c r="B15" s="49" t="s">
        <v>172</v>
      </c>
      <c r="C15" s="49" t="s">
        <v>173</v>
      </c>
      <c r="D15" s="50" t="s">
        <v>174</v>
      </c>
      <c r="E15" s="50" t="s">
        <v>174</v>
      </c>
      <c r="F15" s="50" t="s">
        <v>174</v>
      </c>
      <c r="G15" s="50" t="s">
        <v>174</v>
      </c>
      <c r="H15" s="50" t="s">
        <v>174</v>
      </c>
      <c r="I15" s="50" t="s">
        <v>174</v>
      </c>
      <c r="J15" s="50" t="s">
        <v>174</v>
      </c>
      <c r="K15" s="50" t="s">
        <v>174</v>
      </c>
      <c r="L15" s="50" t="s">
        <v>174</v>
      </c>
      <c r="M15" s="50" t="s">
        <v>174</v>
      </c>
      <c r="N15" s="51" t="s">
        <v>174</v>
      </c>
    </row>
    <row r="16" spans="1:14" x14ac:dyDescent="0.25">
      <c r="A16" s="53" t="s">
        <v>187</v>
      </c>
      <c r="B16" s="54" t="s">
        <v>175</v>
      </c>
      <c r="C16" s="55" t="s">
        <v>172</v>
      </c>
      <c r="D16" s="54" t="s">
        <v>175</v>
      </c>
      <c r="E16" s="54" t="s">
        <v>174</v>
      </c>
      <c r="F16" s="54" t="s">
        <v>174</v>
      </c>
      <c r="G16" s="54" t="s">
        <v>174</v>
      </c>
      <c r="H16" s="54" t="s">
        <v>175</v>
      </c>
      <c r="I16" s="54" t="s">
        <v>175</v>
      </c>
      <c r="J16" s="54" t="s">
        <v>175</v>
      </c>
      <c r="K16" s="54" t="s">
        <v>174</v>
      </c>
      <c r="L16" s="55" t="s">
        <v>173</v>
      </c>
      <c r="M16" s="54" t="s">
        <v>174</v>
      </c>
      <c r="N16" s="56" t="s">
        <v>175</v>
      </c>
    </row>
  </sheetData>
  <mergeCells count="2">
    <mergeCell ref="A1:N1"/>
    <mergeCell ref="A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0FDAC-B934-4092-A427-BA31BBD9B6EC}">
  <dimension ref="A1:J23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6.7109375" customWidth="1"/>
    <col min="2" max="2" width="12.7109375" customWidth="1"/>
    <col min="3" max="3" width="28.7109375" customWidth="1"/>
    <col min="4" max="4" width="38.7109375" customWidth="1"/>
    <col min="5" max="5" width="14.7109375" customWidth="1"/>
    <col min="6" max="6" width="12.7109375" customWidth="1"/>
    <col min="7" max="7" width="22.7109375" customWidth="1"/>
    <col min="8" max="8" width="14.7109375" customWidth="1"/>
    <col min="9" max="9" width="10.7109375" customWidth="1"/>
    <col min="10" max="10" width="42.7109375" customWidth="1"/>
  </cols>
  <sheetData>
    <row r="1" spans="1:10" ht="32.1" customHeight="1" x14ac:dyDescent="0.25">
      <c r="A1" s="34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30" customHeight="1" x14ac:dyDescent="0.25">
      <c r="A2" s="57" t="s">
        <v>188</v>
      </c>
      <c r="B2" s="58" t="s">
        <v>189</v>
      </c>
      <c r="C2" s="58" t="s">
        <v>190</v>
      </c>
      <c r="D2" s="58" t="s">
        <v>191</v>
      </c>
      <c r="E2" s="58" t="s">
        <v>192</v>
      </c>
      <c r="F2" s="58" t="s">
        <v>193</v>
      </c>
      <c r="G2" s="58" t="s">
        <v>5</v>
      </c>
      <c r="H2" s="58" t="s">
        <v>194</v>
      </c>
      <c r="I2" s="58" t="s">
        <v>10</v>
      </c>
      <c r="J2" s="59" t="s">
        <v>195</v>
      </c>
    </row>
    <row r="3" spans="1:10" ht="45" customHeight="1" x14ac:dyDescent="0.25">
      <c r="A3" s="60" t="s">
        <v>69</v>
      </c>
      <c r="B3" s="61" t="s">
        <v>196</v>
      </c>
      <c r="C3" s="61" t="s">
        <v>197</v>
      </c>
      <c r="D3" s="61" t="s">
        <v>198</v>
      </c>
      <c r="E3" s="61" t="s">
        <v>199</v>
      </c>
      <c r="F3" s="61" t="s">
        <v>199</v>
      </c>
      <c r="G3" s="61" t="s">
        <v>66</v>
      </c>
      <c r="H3" s="61" t="s">
        <v>200</v>
      </c>
      <c r="I3" s="61" t="s">
        <v>201</v>
      </c>
      <c r="J3" s="62" t="s">
        <v>202</v>
      </c>
    </row>
    <row r="4" spans="1:10" ht="45" customHeight="1" x14ac:dyDescent="0.25">
      <c r="A4" s="60" t="s">
        <v>72</v>
      </c>
      <c r="B4" s="61" t="s">
        <v>196</v>
      </c>
      <c r="C4" s="61" t="s">
        <v>203</v>
      </c>
      <c r="D4" s="61" t="s">
        <v>204</v>
      </c>
      <c r="E4" s="61" t="s">
        <v>205</v>
      </c>
      <c r="F4" s="61" t="s">
        <v>199</v>
      </c>
      <c r="G4" s="61" t="s">
        <v>36</v>
      </c>
      <c r="H4" s="61" t="s">
        <v>200</v>
      </c>
      <c r="I4" s="61" t="s">
        <v>201</v>
      </c>
      <c r="J4" s="62" t="s">
        <v>206</v>
      </c>
    </row>
    <row r="5" spans="1:10" ht="45" customHeight="1" x14ac:dyDescent="0.25">
      <c r="A5" s="60" t="s">
        <v>74</v>
      </c>
      <c r="B5" s="61" t="s">
        <v>196</v>
      </c>
      <c r="C5" s="61" t="s">
        <v>207</v>
      </c>
      <c r="D5" s="61" t="s">
        <v>208</v>
      </c>
      <c r="E5" s="61" t="s">
        <v>205</v>
      </c>
      <c r="F5" s="61" t="s">
        <v>205</v>
      </c>
      <c r="G5" s="61" t="s">
        <v>32</v>
      </c>
      <c r="H5" s="61" t="s">
        <v>209</v>
      </c>
      <c r="I5" s="61" t="s">
        <v>201</v>
      </c>
      <c r="J5" s="62" t="s">
        <v>210</v>
      </c>
    </row>
    <row r="6" spans="1:10" ht="45" customHeight="1" x14ac:dyDescent="0.25">
      <c r="A6" s="60" t="s">
        <v>76</v>
      </c>
      <c r="B6" s="61" t="s">
        <v>196</v>
      </c>
      <c r="C6" s="61" t="s">
        <v>211</v>
      </c>
      <c r="D6" s="61" t="s">
        <v>212</v>
      </c>
      <c r="E6" s="61" t="s">
        <v>205</v>
      </c>
      <c r="F6" s="61" t="s">
        <v>205</v>
      </c>
      <c r="G6" s="61" t="s">
        <v>51</v>
      </c>
      <c r="H6" s="61" t="s">
        <v>209</v>
      </c>
      <c r="I6" s="61" t="s">
        <v>201</v>
      </c>
      <c r="J6" s="62" t="s">
        <v>213</v>
      </c>
    </row>
    <row r="7" spans="1:10" ht="45" customHeight="1" x14ac:dyDescent="0.25">
      <c r="A7" s="60" t="s">
        <v>78</v>
      </c>
      <c r="B7" s="61" t="s">
        <v>196</v>
      </c>
      <c r="C7" s="61" t="s">
        <v>214</v>
      </c>
      <c r="D7" s="61" t="s">
        <v>215</v>
      </c>
      <c r="E7" s="61" t="s">
        <v>216</v>
      </c>
      <c r="F7" s="61" t="s">
        <v>199</v>
      </c>
      <c r="G7" s="61" t="s">
        <v>51</v>
      </c>
      <c r="H7" s="61" t="s">
        <v>217</v>
      </c>
      <c r="I7" s="61" t="s">
        <v>201</v>
      </c>
      <c r="J7" s="62" t="s">
        <v>218</v>
      </c>
    </row>
    <row r="8" spans="1:10" ht="45" customHeight="1" x14ac:dyDescent="0.25">
      <c r="A8" s="60" t="s">
        <v>80</v>
      </c>
      <c r="B8" s="61" t="s">
        <v>196</v>
      </c>
      <c r="C8" s="61" t="s">
        <v>219</v>
      </c>
      <c r="D8" s="61" t="s">
        <v>220</v>
      </c>
      <c r="E8" s="61" t="s">
        <v>205</v>
      </c>
      <c r="F8" s="61" t="s">
        <v>199</v>
      </c>
      <c r="G8" s="61" t="s">
        <v>32</v>
      </c>
      <c r="H8" s="63">
        <v>46199</v>
      </c>
      <c r="I8" s="61" t="s">
        <v>201</v>
      </c>
      <c r="J8" s="62" t="s">
        <v>221</v>
      </c>
    </row>
    <row r="9" spans="1:10" ht="45" customHeight="1" x14ac:dyDescent="0.25">
      <c r="A9" s="60" t="s">
        <v>82</v>
      </c>
      <c r="B9" s="61" t="s">
        <v>196</v>
      </c>
      <c r="C9" s="61" t="s">
        <v>222</v>
      </c>
      <c r="D9" s="61" t="s">
        <v>223</v>
      </c>
      <c r="E9" s="61" t="s">
        <v>205</v>
      </c>
      <c r="F9" s="61" t="s">
        <v>205</v>
      </c>
      <c r="G9" s="61" t="s">
        <v>36</v>
      </c>
      <c r="H9" s="63">
        <v>46206</v>
      </c>
      <c r="I9" s="61" t="s">
        <v>201</v>
      </c>
      <c r="J9" s="62" t="s">
        <v>224</v>
      </c>
    </row>
    <row r="10" spans="1:10" ht="45" customHeight="1" x14ac:dyDescent="0.25">
      <c r="A10" s="60" t="s">
        <v>84</v>
      </c>
      <c r="B10" s="61" t="s">
        <v>196</v>
      </c>
      <c r="C10" s="61" t="s">
        <v>225</v>
      </c>
      <c r="D10" s="61" t="s">
        <v>226</v>
      </c>
      <c r="E10" s="61" t="s">
        <v>199</v>
      </c>
      <c r="F10" s="61" t="s">
        <v>205</v>
      </c>
      <c r="G10" s="61" t="s">
        <v>66</v>
      </c>
      <c r="H10" s="63">
        <v>46206</v>
      </c>
      <c r="I10" s="61" t="s">
        <v>201</v>
      </c>
      <c r="J10" s="62" t="s">
        <v>227</v>
      </c>
    </row>
    <row r="11" spans="1:10" ht="45" customHeight="1" x14ac:dyDescent="0.25">
      <c r="A11" s="60" t="s">
        <v>228</v>
      </c>
      <c r="B11" s="61" t="s">
        <v>229</v>
      </c>
      <c r="C11" s="61" t="s">
        <v>230</v>
      </c>
      <c r="D11" s="61" t="s">
        <v>231</v>
      </c>
      <c r="E11" s="61"/>
      <c r="F11" s="61"/>
      <c r="G11" s="61" t="s">
        <v>29</v>
      </c>
      <c r="H11" s="63">
        <v>46195</v>
      </c>
      <c r="I11" s="61" t="s">
        <v>201</v>
      </c>
      <c r="J11" s="62" t="s">
        <v>232</v>
      </c>
    </row>
    <row r="12" spans="1:10" ht="45" customHeight="1" x14ac:dyDescent="0.25">
      <c r="A12" s="60" t="s">
        <v>233</v>
      </c>
      <c r="B12" s="61" t="s">
        <v>229</v>
      </c>
      <c r="C12" s="61" t="s">
        <v>234</v>
      </c>
      <c r="D12" s="61" t="s">
        <v>235</v>
      </c>
      <c r="E12" s="61"/>
      <c r="F12" s="61"/>
      <c r="G12" s="61" t="s">
        <v>32</v>
      </c>
      <c r="H12" s="63">
        <v>46192</v>
      </c>
      <c r="I12" s="61" t="s">
        <v>201</v>
      </c>
      <c r="J12" s="62" t="s">
        <v>236</v>
      </c>
    </row>
    <row r="13" spans="1:10" ht="45" customHeight="1" x14ac:dyDescent="0.25">
      <c r="A13" s="60" t="s">
        <v>237</v>
      </c>
      <c r="B13" s="61" t="s">
        <v>229</v>
      </c>
      <c r="C13" s="61" t="s">
        <v>238</v>
      </c>
      <c r="D13" s="61" t="s">
        <v>239</v>
      </c>
      <c r="E13" s="61"/>
      <c r="F13" s="61"/>
      <c r="G13" s="61" t="s">
        <v>66</v>
      </c>
      <c r="H13" s="63">
        <v>46206</v>
      </c>
      <c r="I13" s="61" t="s">
        <v>201</v>
      </c>
      <c r="J13" s="62" t="s">
        <v>240</v>
      </c>
    </row>
    <row r="14" spans="1:10" ht="45" customHeight="1" x14ac:dyDescent="0.25">
      <c r="A14" s="60" t="s">
        <v>241</v>
      </c>
      <c r="B14" s="61" t="s">
        <v>229</v>
      </c>
      <c r="C14" s="61" t="s">
        <v>242</v>
      </c>
      <c r="D14" s="61" t="s">
        <v>243</v>
      </c>
      <c r="E14" s="61"/>
      <c r="F14" s="61"/>
      <c r="G14" s="61" t="s">
        <v>62</v>
      </c>
      <c r="H14" s="63">
        <v>46199</v>
      </c>
      <c r="I14" s="61" t="s">
        <v>201</v>
      </c>
      <c r="J14" s="62" t="s">
        <v>244</v>
      </c>
    </row>
    <row r="15" spans="1:10" ht="45" customHeight="1" x14ac:dyDescent="0.25">
      <c r="A15" s="60" t="s">
        <v>245</v>
      </c>
      <c r="B15" s="61" t="s">
        <v>229</v>
      </c>
      <c r="C15" s="61" t="s">
        <v>246</v>
      </c>
      <c r="D15" s="61" t="s">
        <v>247</v>
      </c>
      <c r="E15" s="61"/>
      <c r="F15" s="61"/>
      <c r="G15" s="61" t="s">
        <v>248</v>
      </c>
      <c r="H15" s="63">
        <v>46206</v>
      </c>
      <c r="I15" s="61" t="s">
        <v>201</v>
      </c>
      <c r="J15" s="62" t="s">
        <v>249</v>
      </c>
    </row>
    <row r="16" spans="1:10" ht="45" customHeight="1" x14ac:dyDescent="0.25">
      <c r="A16" s="60" t="s">
        <v>250</v>
      </c>
      <c r="B16" s="61" t="s">
        <v>251</v>
      </c>
      <c r="C16" s="61" t="s">
        <v>252</v>
      </c>
      <c r="D16" s="61" t="s">
        <v>253</v>
      </c>
      <c r="E16" s="61"/>
      <c r="F16" s="61"/>
      <c r="G16" s="61"/>
      <c r="H16" s="61"/>
      <c r="I16" s="61" t="s">
        <v>201</v>
      </c>
      <c r="J16" s="62"/>
    </row>
    <row r="17" spans="1:10" ht="45" customHeight="1" x14ac:dyDescent="0.25">
      <c r="A17" s="60" t="s">
        <v>254</v>
      </c>
      <c r="B17" s="61" t="s">
        <v>251</v>
      </c>
      <c r="C17" s="61" t="s">
        <v>255</v>
      </c>
      <c r="D17" s="61" t="s">
        <v>256</v>
      </c>
      <c r="E17" s="61"/>
      <c r="F17" s="61"/>
      <c r="G17" s="61" t="s">
        <v>257</v>
      </c>
      <c r="H17" s="63">
        <v>46206</v>
      </c>
      <c r="I17" s="61" t="s">
        <v>201</v>
      </c>
      <c r="J17" s="62" t="s">
        <v>258</v>
      </c>
    </row>
    <row r="18" spans="1:10" ht="45" customHeight="1" x14ac:dyDescent="0.25">
      <c r="A18" s="60" t="s">
        <v>259</v>
      </c>
      <c r="B18" s="61" t="s">
        <v>251</v>
      </c>
      <c r="C18" s="61" t="s">
        <v>260</v>
      </c>
      <c r="D18" s="61" t="s">
        <v>261</v>
      </c>
      <c r="E18" s="61"/>
      <c r="F18" s="61"/>
      <c r="G18" s="61" t="s">
        <v>51</v>
      </c>
      <c r="H18" s="63">
        <v>46199</v>
      </c>
      <c r="I18" s="61" t="s">
        <v>201</v>
      </c>
      <c r="J18" s="62" t="s">
        <v>262</v>
      </c>
    </row>
    <row r="19" spans="1:10" ht="45" customHeight="1" x14ac:dyDescent="0.25">
      <c r="A19" s="60" t="s">
        <v>98</v>
      </c>
      <c r="B19" s="61" t="s">
        <v>263</v>
      </c>
      <c r="C19" s="61" t="s">
        <v>264</v>
      </c>
      <c r="D19" s="61" t="s">
        <v>265</v>
      </c>
      <c r="E19" s="61"/>
      <c r="F19" s="61"/>
      <c r="G19" s="61" t="s">
        <v>32</v>
      </c>
      <c r="H19" s="63">
        <v>46202</v>
      </c>
      <c r="I19" s="61" t="s">
        <v>201</v>
      </c>
      <c r="J19" s="62" t="s">
        <v>266</v>
      </c>
    </row>
    <row r="20" spans="1:10" ht="45" customHeight="1" x14ac:dyDescent="0.25">
      <c r="A20" s="60" t="s">
        <v>101</v>
      </c>
      <c r="B20" s="61" t="s">
        <v>263</v>
      </c>
      <c r="C20" s="61" t="s">
        <v>267</v>
      </c>
      <c r="D20" s="61" t="s">
        <v>268</v>
      </c>
      <c r="E20" s="61"/>
      <c r="F20" s="61"/>
      <c r="G20" s="61" t="s">
        <v>106</v>
      </c>
      <c r="H20" s="63">
        <v>46206</v>
      </c>
      <c r="I20" s="61" t="s">
        <v>201</v>
      </c>
      <c r="J20" s="62" t="s">
        <v>269</v>
      </c>
    </row>
    <row r="21" spans="1:10" ht="45" customHeight="1" x14ac:dyDescent="0.25">
      <c r="A21" s="60" t="s">
        <v>104</v>
      </c>
      <c r="B21" s="61" t="s">
        <v>263</v>
      </c>
      <c r="C21" s="61" t="s">
        <v>270</v>
      </c>
      <c r="D21" s="61" t="s">
        <v>271</v>
      </c>
      <c r="E21" s="61"/>
      <c r="F21" s="61"/>
      <c r="G21" s="61" t="s">
        <v>66</v>
      </c>
      <c r="H21" s="63">
        <v>46206</v>
      </c>
      <c r="I21" s="61" t="s">
        <v>201</v>
      </c>
      <c r="J21" s="62" t="s">
        <v>272</v>
      </c>
    </row>
    <row r="22" spans="1:10" ht="45" customHeight="1" x14ac:dyDescent="0.25">
      <c r="A22" s="60" t="s">
        <v>107</v>
      </c>
      <c r="B22" s="61" t="s">
        <v>263</v>
      </c>
      <c r="C22" s="61" t="s">
        <v>273</v>
      </c>
      <c r="D22" s="61" t="s">
        <v>274</v>
      </c>
      <c r="E22" s="61"/>
      <c r="F22" s="61"/>
      <c r="G22" s="61" t="s">
        <v>275</v>
      </c>
      <c r="H22" s="63">
        <v>46199</v>
      </c>
      <c r="I22" s="61" t="s">
        <v>201</v>
      </c>
      <c r="J22" s="62" t="s">
        <v>276</v>
      </c>
    </row>
    <row r="23" spans="1:10" ht="45" customHeight="1" x14ac:dyDescent="0.25">
      <c r="A23" s="64" t="s">
        <v>109</v>
      </c>
      <c r="B23" s="65" t="s">
        <v>263</v>
      </c>
      <c r="C23" s="65" t="s">
        <v>277</v>
      </c>
      <c r="D23" s="65" t="s">
        <v>278</v>
      </c>
      <c r="E23" s="65"/>
      <c r="F23" s="65"/>
      <c r="G23" s="65" t="s">
        <v>20</v>
      </c>
      <c r="H23" s="65" t="s">
        <v>209</v>
      </c>
      <c r="I23" s="65" t="s">
        <v>201</v>
      </c>
      <c r="J23" s="66" t="s">
        <v>279</v>
      </c>
    </row>
  </sheetData>
  <mergeCells count="1">
    <mergeCell ref="A1:J1"/>
  </mergeCells>
  <conditionalFormatting sqref="I3:I23">
    <cfRule type="expression" priority="1" stopIfTrue="1">
      <formula>"Complete"</formula>
    </cfRule>
    <cfRule type="expression" priority="2" stopIfTrue="1">
      <formula>"In Progress"</formula>
    </cfRule>
    <cfRule type="expression" priority="3" stopIfTrue="1">
      <formula>"Blocked"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5A58A-E572-4564-B399-135CEDF1CDD8}">
  <dimension ref="A1:E9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38.7109375" customWidth="1"/>
    <col min="2" max="2" width="14.7109375" customWidth="1"/>
    <col min="3" max="3" width="10.7109375" customWidth="1"/>
    <col min="4" max="4" width="22.7109375" customWidth="1"/>
    <col min="5" max="5" width="12.7109375" customWidth="1"/>
  </cols>
  <sheetData>
    <row r="1" spans="1:5" ht="32.1" customHeight="1" x14ac:dyDescent="0.25">
      <c r="A1" s="34" t="s">
        <v>0</v>
      </c>
      <c r="B1" s="2"/>
      <c r="C1" s="2"/>
      <c r="D1" s="2"/>
      <c r="E1" s="2"/>
    </row>
    <row r="2" spans="1:5" ht="30" customHeight="1" x14ac:dyDescent="0.25">
      <c r="A2" s="57" t="s">
        <v>280</v>
      </c>
      <c r="B2" s="58" t="s">
        <v>281</v>
      </c>
      <c r="C2" s="58" t="s">
        <v>2</v>
      </c>
      <c r="D2" s="58" t="s">
        <v>5</v>
      </c>
      <c r="E2" s="59" t="s">
        <v>10</v>
      </c>
    </row>
    <row r="3" spans="1:5" x14ac:dyDescent="0.25">
      <c r="A3" s="12" t="s">
        <v>282</v>
      </c>
      <c r="B3" s="15">
        <f>DATE(2026,6,15)</f>
        <v>46188</v>
      </c>
      <c r="C3" s="13" t="s">
        <v>13</v>
      </c>
      <c r="D3" s="14" t="s">
        <v>20</v>
      </c>
      <c r="E3" s="17" t="s">
        <v>17</v>
      </c>
    </row>
    <row r="4" spans="1:5" x14ac:dyDescent="0.25">
      <c r="A4" s="12" t="s">
        <v>283</v>
      </c>
      <c r="B4" s="15">
        <f>DATE(2026,7,31)</f>
        <v>46234</v>
      </c>
      <c r="C4" s="18" t="s">
        <v>38</v>
      </c>
      <c r="D4" s="14" t="s">
        <v>106</v>
      </c>
      <c r="E4" s="17" t="s">
        <v>17</v>
      </c>
    </row>
    <row r="5" spans="1:5" x14ac:dyDescent="0.25">
      <c r="A5" s="12" t="s">
        <v>284</v>
      </c>
      <c r="B5" s="15">
        <f>DATE(2026,9,11)</f>
        <v>46276</v>
      </c>
      <c r="C5" s="19" t="s">
        <v>70</v>
      </c>
      <c r="D5" s="14" t="s">
        <v>32</v>
      </c>
      <c r="E5" s="17" t="s">
        <v>17</v>
      </c>
    </row>
    <row r="6" spans="1:5" x14ac:dyDescent="0.25">
      <c r="A6" s="12" t="s">
        <v>285</v>
      </c>
      <c r="B6" s="15">
        <f>DATE(2026,10,2)</f>
        <v>46297</v>
      </c>
      <c r="C6" s="19" t="s">
        <v>70</v>
      </c>
      <c r="D6" s="14" t="s">
        <v>93</v>
      </c>
      <c r="E6" s="17" t="s">
        <v>17</v>
      </c>
    </row>
    <row r="7" spans="1:5" x14ac:dyDescent="0.25">
      <c r="A7" s="12" t="s">
        <v>105</v>
      </c>
      <c r="B7" s="15">
        <f>DATE(2026,10,23)</f>
        <v>46318</v>
      </c>
      <c r="C7" s="20" t="s">
        <v>99</v>
      </c>
      <c r="D7" s="14" t="s">
        <v>106</v>
      </c>
      <c r="E7" s="17" t="s">
        <v>17</v>
      </c>
    </row>
    <row r="8" spans="1:5" x14ac:dyDescent="0.25">
      <c r="A8" s="67" t="s">
        <v>286</v>
      </c>
      <c r="B8" s="68">
        <f>DATE(2026,10,30)</f>
        <v>46325</v>
      </c>
      <c r="C8" s="69" t="s">
        <v>99</v>
      </c>
      <c r="D8" s="69" t="s">
        <v>20</v>
      </c>
      <c r="E8" s="70" t="s">
        <v>17</v>
      </c>
    </row>
    <row r="9" spans="1:5" x14ac:dyDescent="0.25">
      <c r="A9" s="28" t="s">
        <v>287</v>
      </c>
      <c r="B9" s="31">
        <f>DATE(2026,11,27)</f>
        <v>46353</v>
      </c>
      <c r="C9" s="29" t="s">
        <v>120</v>
      </c>
      <c r="D9" s="30" t="s">
        <v>123</v>
      </c>
      <c r="E9" s="33" t="s">
        <v>17</v>
      </c>
    </row>
  </sheetData>
  <mergeCells count="1">
    <mergeCell ref="A1:E1"/>
  </mergeCells>
  <conditionalFormatting sqref="E3:E9">
    <cfRule type="expression" priority="1" stopIfTrue="1">
      <formula>"Complete"</formula>
    </cfRule>
    <cfRule type="expression" priority="2" stopIfTrue="1">
      <formula>"In Progress"</formula>
    </cfRule>
    <cfRule type="expression" priority="3" stopIfTrue="1">
      <formula>"Blocked"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WBS</vt:lpstr>
      <vt:lpstr>Gantt</vt:lpstr>
      <vt:lpstr>RACI</vt:lpstr>
      <vt:lpstr>RAID Log</vt:lpstr>
      <vt:lpstr>Milestones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2026-05-26T11:11:42Z</dcterms:created>
  <dcterms:modified xsi:type="dcterms:W3CDTF">2026-05-26T11:12:15Z</dcterms:modified>
</cp:coreProperties>
</file>